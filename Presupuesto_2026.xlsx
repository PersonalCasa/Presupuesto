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2" i="6" l="1"/>
  <c r="O31" i="5" l="1"/>
  <c r="T31" i="5"/>
  <c r="Y32" i="5"/>
  <c r="AA28" i="5" l="1"/>
  <c r="R24" i="5" l="1"/>
  <c r="R27" i="5"/>
  <c r="O19" i="5" l="1"/>
  <c r="T21" i="5"/>
  <c r="R21" i="5"/>
  <c r="Y21" i="5"/>
  <c r="AA20" i="5"/>
  <c r="R20" i="5"/>
  <c r="S20" i="5"/>
  <c r="AA19" i="5"/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R18" i="1" s="1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AA28" i="1" s="1"/>
  <c r="Z33" i="5"/>
  <c r="Z28" i="1" s="1"/>
  <c r="Y33" i="5"/>
  <c r="Y28" i="1" s="1"/>
  <c r="X33" i="5"/>
  <c r="X17" i="1" s="1"/>
  <c r="W33" i="5"/>
  <c r="W28" i="1" s="1"/>
  <c r="V33" i="5"/>
  <c r="V28" i="1" s="1"/>
  <c r="U33" i="5"/>
  <c r="U28" i="1" s="1"/>
  <c r="T33" i="5"/>
  <c r="T28" i="1" s="1"/>
  <c r="S33" i="5"/>
  <c r="S28" i="1" s="1"/>
  <c r="R33" i="5"/>
  <c r="R28" i="1" s="1"/>
  <c r="Q33" i="5"/>
  <c r="P33" i="5"/>
  <c r="P17" i="1" s="1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AC15" i="1" s="1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Q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Z17" i="1"/>
  <c r="U17" i="1"/>
  <c r="Q17" i="1"/>
  <c r="M17" i="1"/>
  <c r="K17" i="1"/>
  <c r="J17" i="1"/>
  <c r="I17" i="1"/>
  <c r="H17" i="1"/>
  <c r="G17" i="1"/>
  <c r="E17" i="1"/>
  <c r="C17" i="1"/>
  <c r="B17" i="1"/>
  <c r="AC16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R29" i="1" l="1"/>
  <c r="Y17" i="1"/>
  <c r="W17" i="1"/>
  <c r="S17" i="1"/>
  <c r="P28" i="1"/>
  <c r="D17" i="1"/>
  <c r="AC30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AC29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W33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O33" i="1" l="1"/>
  <c r="AJ6" i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<sst xmlns="http://schemas.openxmlformats.org/spreadsheetml/2006/main" count="413" uniqueCount="89">
  <si>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</si>
  <si>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</si>
  <si>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</si>
  <si>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</si>
  <si>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</si>
  <si>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</si>
  <si>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</si>
  <si>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</si>
  <si>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</si>
  <si>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</si>
  <si>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</si>
  <si>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</si>
  <si>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</si>
  <si>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</si>
  <si>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</si>
  <si>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</si>
  <si>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</si>
  <si>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</si>
  <si>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</si>
  <si>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</si>
  <si>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</si>
  <si>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</si>
  <si>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</si>
  <si>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</si>
  <si>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</si>
  <si>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</si>
  <si>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</si>
  <si>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</si>
  <si>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</si>
  <si>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</si>
  <si>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</si>
  <si>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</si>
  <si>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</si>
  <si>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</si>
  <si>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</si>
  <si>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</si>
  <si>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</si>
  <si>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</si>
  <si>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</si>
  <si>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</si>
  <si>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</si>
  <si>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</si>
  <si>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</si>
  <si>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</si>
  <si>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</si>
  <si>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</si>
  <si>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</si>
  <si>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</si>
  <si>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</si>
  <si>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</si>
  <si>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</si>
  <si>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</si>
  <si>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</si>
  <si>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</si>
  <si>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</si>
  <si>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</si>
  <si>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</si>
  <si>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</si>
  <si>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</si>
  <si>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</si>
  <si>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</si>
  <si>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</si>
  <si>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</si>
  <si>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</si>
  <si>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</si>
  <si>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</si>
  <si>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</si>
  <si>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</si>
  <si>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</si>
  <si>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</si>
  <si>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</si>
  <si>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</si>
  <si>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</si>
  <si>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</si>
  <si>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</si>
  <si>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</si>
  <si>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</si>
  <si>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</si>
  <si>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</si>
  <si>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</si>
  <si>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</si>
  <si>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</si>
  <si>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</si>
  <si>
    <t>Cena Berni</t>
  </si>
  <si>
    <t>3 comepa</t>
  </si>
  <si>
    <t>envio zartenes</t>
  </si>
  <si>
    <t>regalo lolo</t>
  </si>
  <si>
    <t>farmacia</t>
  </si>
  <si>
    <t>disfraces roci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</si>
</sst>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20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abSelected="1" topLeftCell="G13" zoomScaleNormal="100" workbookViewId="0">
      <selection activeCell="U27" sqref="U27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25">
      <c r="A7" s="1" t="s">
        <v>41</v>
      </c>
      <c r="C7" s="1">
        <v>4369</v>
      </c>
      <c r="D7" s="1">
        <v>15700</v>
      </c>
      <c r="E7" s="1">
        <v>0</v>
      </c>
      <c r="F7" s="1">
        <v>27000</v>
      </c>
      <c r="G7" s="1">
        <v>1100</v>
      </c>
      <c r="H7" s="1">
        <v>3300</v>
      </c>
      <c r="I7" s="1">
        <v>3750</v>
      </c>
      <c r="J7" s="1">
        <v>1000</v>
      </c>
      <c r="K7" s="1">
        <v>23200</v>
      </c>
      <c r="L7" s="1">
        <v>8000</v>
      </c>
      <c r="M7" s="1">
        <v>20000</v>
      </c>
      <c r="N7" s="1">
        <v>810</v>
      </c>
      <c r="O7" s="1">
        <v>8000</v>
      </c>
      <c r="P7" s="1">
        <v>1800</v>
      </c>
      <c r="Q7" s="1">
        <v>2500</v>
      </c>
      <c r="R7" s="1">
        <v>19000</v>
      </c>
      <c r="S7" s="1">
        <v>2000</v>
      </c>
      <c r="T7" s="1">
        <v>5000</v>
      </c>
      <c r="U7" s="1">
        <v>12500</v>
      </c>
      <c r="V7" s="1">
        <v>1500</v>
      </c>
      <c r="W7" s="1">
        <v>3000</v>
      </c>
      <c r="X7" s="1">
        <v>800</v>
      </c>
      <c r="Y7" s="1">
        <v>2000</v>
      </c>
      <c r="AA7" s="1">
        <v>5000</v>
      </c>
      <c r="AB7" s="6"/>
      <c r="AC7" s="1">
        <f t="shared" si="0"/>
        <v>171329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65664.5</v>
      </c>
      <c r="AI7" s="9">
        <f t="shared" si="4"/>
        <v>69964.5</v>
      </c>
      <c r="AJ7" s="10">
        <f t="shared" si="5"/>
        <v>135629</v>
      </c>
    </row>
    <row r="8" spans="1:36" ht="15" customHeight="1" x14ac:dyDescent="0.25">
      <c r="A8" s="1" t="s">
        <v>42</v>
      </c>
      <c r="B8" s="1">
        <v>25000</v>
      </c>
      <c r="D8" s="1">
        <v>15750</v>
      </c>
      <c r="E8" s="1">
        <v>0</v>
      </c>
      <c r="F8" s="1">
        <v>27000</v>
      </c>
      <c r="G8" s="1">
        <v>1100</v>
      </c>
      <c r="H8" s="1">
        <v>3300</v>
      </c>
      <c r="I8" s="1">
        <v>3000</v>
      </c>
      <c r="J8" s="1">
        <v>700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19000</v>
      </c>
      <c r="S8" s="1">
        <v>2000</v>
      </c>
      <c r="T8" s="1">
        <v>5000</v>
      </c>
      <c r="W8" s="1">
        <v>3000</v>
      </c>
      <c r="X8" s="1">
        <v>800</v>
      </c>
      <c r="Y8" s="1">
        <v>2000</v>
      </c>
      <c r="AA8" s="1">
        <v>5000</v>
      </c>
      <c r="AB8" s="6"/>
      <c r="AC8" s="1">
        <f>SUM(B8:AB8)</f>
        <v>159460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72230</v>
      </c>
      <c r="AI8" s="9">
        <f t="shared" si="4"/>
        <v>63980</v>
      </c>
      <c r="AJ8" s="10">
        <f t="shared" si="5"/>
        <v>136210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27000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19000</v>
      </c>
      <c r="S9" s="1">
        <v>2000</v>
      </c>
      <c r="T9" s="1">
        <v>5000</v>
      </c>
      <c r="W9" s="1">
        <v>3000</v>
      </c>
      <c r="X9" s="1">
        <v>800</v>
      </c>
      <c r="Y9" s="1">
        <v>2000</v>
      </c>
      <c r="AA9" s="1">
        <v>5000</v>
      </c>
      <c r="AB9" s="6"/>
      <c r="AC9" s="1">
        <f t="shared" si="0"/>
        <v>138879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61939.5</v>
      </c>
      <c r="AI9" s="9">
        <f t="shared" si="4"/>
        <v>53639.5</v>
      </c>
      <c r="AJ9" s="10">
        <f t="shared" si="5"/>
        <v>115579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19000</v>
      </c>
      <c r="S10" s="1">
        <v>2000</v>
      </c>
      <c r="T10" s="1">
        <v>5000</v>
      </c>
      <c r="W10" s="1">
        <v>3000</v>
      </c>
      <c r="X10" s="1">
        <v>800</v>
      </c>
      <c r="Y10" s="1">
        <v>2000</v>
      </c>
      <c r="AA10" s="1">
        <v>5000</v>
      </c>
      <c r="AB10" s="6"/>
      <c r="AC10" s="1">
        <f t="shared" si="0"/>
        <v>152510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68755</v>
      </c>
      <c r="AI10" s="9">
        <f t="shared" si="4"/>
        <v>60455</v>
      </c>
      <c r="AJ10" s="10">
        <f t="shared" si="5"/>
        <v>129210</v>
      </c>
    </row>
    <row r="12" spans="1:36" ht="15" customHeight="1" x14ac:dyDescent="0.25">
      <c r="A12" s="44" t="s">
        <v>45</v>
      </c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  <c r="AC15" s="1">
        <f>IF(Junio!AC32&gt;0,Junio!AC32,"")</f>
        <v>17322.899999999998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13308.64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16436.79</v>
      </c>
      <c r="S17" s="1">
        <f>IF(Agosto!S33&gt;0,Agosto!S33,"")</f>
        <v>2458.12</v>
      </c>
      <c r="T17" s="1">
        <f>IF(Agosto!T33&gt;0,Agosto!T33,"")</f>
        <v>5511.4699999999993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3019.08</v>
      </c>
      <c r="Z17" s="1" t="str">
        <f>IF(Agosto!Z33&gt;0,Agosto!Z33,"")</f>
        <v/>
      </c>
      <c r="AA17" s="1">
        <f>IF(Agosto!AA33&gt;0,Agosto!AA33,"")</f>
        <v>6388.06</v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>
        <f>IF(Setiembre!R32&gt;0,Setiembre!R32,"")</f>
        <v>846.29</v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5" t="s">
        <v>48</v>
      </c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-5308.6399999999994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3563.2099999999991</v>
      </c>
      <c r="S28" s="1">
        <f>IF(ISNUMBER(Agosto!S33),S6-Agosto!S33,"")</f>
        <v>41.880000000000109</v>
      </c>
      <c r="T28" s="1">
        <f>IF(ISNUMBER(Agosto!T33),T6-Agosto!T33,"")</f>
        <v>-511.46999999999935</v>
      </c>
      <c r="U28" s="1">
        <f>IF(ISNUMBER(Agosto!U33),U6-Agosto!U33,"")</f>
        <v>0</v>
      </c>
      <c r="V28" s="1">
        <f>IF(ISNUMBER(Agosto!V33),V6-Agosto!V33,"")</f>
        <v>0</v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980.92000000000007</v>
      </c>
      <c r="Z28" s="1" t="str">
        <f>IF(ISNUMBER(Agosto!Z33),Z6-Agosto!Z33,"")</f>
        <v/>
      </c>
      <c r="AA28" s="1">
        <f>IF(ISNUMBER(Agosto!AA33),AA6-Agosto!AA33,"")</f>
        <v>-1388.0600000000004</v>
      </c>
      <c r="AC28" s="12">
        <f t="shared" si="7"/>
        <v>-1515.670000000001</v>
      </c>
    </row>
    <row r="29" spans="1:29" ht="15" customHeight="1" x14ac:dyDescent="0.25">
      <c r="A29" s="1" t="s">
        <v>41</v>
      </c>
      <c r="B29" s="1" t="str">
        <f>IF(ISNUMBER(Setiembre!B32),B8-Setiembre!B32,"")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>
        <f>IF(ISNUMBER(Setiembre!R32),R7-Setiembre!R32,"")</f>
        <v>18153.71</v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18153.71</v>
      </c>
    </row>
    <row r="30" spans="1:29" ht="15" customHeight="1" x14ac:dyDescent="0.25">
      <c r="A30" s="1" t="s">
        <v>42</v>
      </c>
      <c r="B30" s="1" t="str">
        <f>IF(ISNUMBER(Octubre!B33),#REF!-Octubre!B33,"")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-360.81999999999971</v>
      </c>
      <c r="F33" s="12">
        <f t="shared" si="8"/>
        <v>-1886</v>
      </c>
      <c r="G33" s="12">
        <f t="shared" si="8"/>
        <v>5</v>
      </c>
      <c r="H33" s="12">
        <f t="shared" si="8"/>
        <v>416.88000000000011</v>
      </c>
      <c r="I33" s="12">
        <f t="shared" si="8"/>
        <v>1014.0899999999997</v>
      </c>
      <c r="J33" s="12">
        <f t="shared" si="8"/>
        <v>300</v>
      </c>
      <c r="K33" s="12">
        <f t="shared" si="8"/>
        <v>14.069999999998345</v>
      </c>
      <c r="L33" s="12">
        <f t="shared" si="8"/>
        <v>329.53999999999724</v>
      </c>
      <c r="M33" s="12">
        <f t="shared" si="8"/>
        <v>-13596.369999999999</v>
      </c>
      <c r="N33" s="12">
        <f t="shared" si="8"/>
        <v>80</v>
      </c>
      <c r="O33" s="12">
        <f t="shared" si="8"/>
        <v>6106.2000000000007</v>
      </c>
      <c r="P33" s="12">
        <f t="shared" si="8"/>
        <v>1800</v>
      </c>
      <c r="Q33" s="12">
        <f t="shared" si="8"/>
        <v>50.820000000000164</v>
      </c>
      <c r="R33" s="12">
        <f t="shared" si="8"/>
        <v>22471.579999999998</v>
      </c>
      <c r="S33" s="12">
        <f t="shared" si="8"/>
        <v>1935.6800000000003</v>
      </c>
      <c r="T33" s="12">
        <f t="shared" si="8"/>
        <v>1227.0300000000007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3179.7</v>
      </c>
      <c r="Y33" s="12">
        <f t="shared" si="8"/>
        <v>767.64000000000033</v>
      </c>
      <c r="Z33" s="12">
        <f t="shared" si="8"/>
        <v>-1650</v>
      </c>
      <c r="AA33" s="12">
        <f t="shared" si="8"/>
        <v>-17938.87</v>
      </c>
      <c r="AC33" s="12">
        <f t="shared" si="7"/>
        <v>6668.7699999999968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P23" zoomScaleNormal="100" workbookViewId="0">
      <selection activeCell="W32" sqref="W3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topLeftCell="K12" zoomScaleNormal="100" workbookViewId="0">
      <selection activeCell="AC25" sqref="AC25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A13" zoomScaleNormal="100" workbookViewId="0">
      <selection activeCell="D35" sqref="D3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O1" zoomScaleNormal="100" workbookViewId="0">
      <selection activeCell="Y32" sqref="Y3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7.7109375" bestFit="1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1">
        <v>1584</v>
      </c>
      <c r="AB18" s="36"/>
      <c r="AC18" s="35">
        <f t="shared" si="0"/>
        <v>1584</v>
      </c>
      <c r="AD18" s="35" t="s">
        <v>83</v>
      </c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>
        <f>500-8.19</f>
        <v>491.81</v>
      </c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>
        <f>352+470+353-8.54-5.6-3.33</f>
        <v>1157.5300000000002</v>
      </c>
      <c r="AB19" s="36"/>
      <c r="AC19" s="35">
        <f t="shared" si="0"/>
        <v>1649.3400000000001</v>
      </c>
      <c r="AD19" s="35" t="s">
        <v>84</v>
      </c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v>3900</v>
      </c>
      <c r="P20" s="35"/>
      <c r="Q20" s="35"/>
      <c r="R20" s="35">
        <f>1040.99-18.39</f>
        <v>1022.6</v>
      </c>
      <c r="S20" s="35">
        <f>874-15.88</f>
        <v>858.12</v>
      </c>
      <c r="T20" s="35"/>
      <c r="U20" s="35"/>
      <c r="V20" s="35"/>
      <c r="W20" s="35"/>
      <c r="X20" s="35"/>
      <c r="Y20" s="35"/>
      <c r="Z20" s="35"/>
      <c r="AA20" s="35">
        <f>281-4.61</f>
        <v>276.39</v>
      </c>
      <c r="AB20" s="36"/>
      <c r="AC20" s="35">
        <f t="shared" si="0"/>
        <v>6057.1100000000006</v>
      </c>
      <c r="AD20" s="35" t="s">
        <v>85</v>
      </c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-858</v>
      </c>
      <c r="P21" s="35"/>
      <c r="Q21" s="35"/>
      <c r="R21" s="35">
        <f>727-12.92</f>
        <v>714.08</v>
      </c>
      <c r="S21" s="35"/>
      <c r="T21" s="35">
        <f>70+1080-0.66+269.46-19.88+570-9.34</f>
        <v>1959.58</v>
      </c>
      <c r="U21" s="35"/>
      <c r="V21" s="35"/>
      <c r="W21" s="35"/>
      <c r="X21" s="35"/>
      <c r="Y21" s="35">
        <f>450-7.38</f>
        <v>442.62</v>
      </c>
      <c r="Z21" s="35"/>
      <c r="AA21" s="35"/>
      <c r="AB21" s="36"/>
      <c r="AC21" s="35">
        <f t="shared" si="0"/>
        <v>2258.2799999999997</v>
      </c>
      <c r="AD21" s="35" t="s">
        <v>86</v>
      </c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42">
        <v>150</v>
      </c>
      <c r="P22" s="35"/>
      <c r="Q22" s="35"/>
      <c r="R22" s="42">
        <v>800</v>
      </c>
      <c r="S22" s="42">
        <v>1600</v>
      </c>
      <c r="T22" s="35"/>
      <c r="U22" s="35"/>
      <c r="V22" s="35"/>
      <c r="W22" s="35"/>
      <c r="X22" s="35"/>
      <c r="Y22" s="35"/>
      <c r="Z22" s="35"/>
      <c r="AA22" s="42">
        <v>1150</v>
      </c>
      <c r="AB22" s="36"/>
      <c r="AC22" s="35">
        <f t="shared" si="0"/>
        <v>3700</v>
      </c>
      <c r="AD22" s="35" t="s">
        <v>87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42">
        <v>2600</v>
      </c>
      <c r="P23" s="35"/>
      <c r="Q23" s="35"/>
      <c r="R23" s="42">
        <v>1500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4100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>
        <f>310-5.08</f>
        <v>304.92</v>
      </c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304.92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1437.41+331+728-5.43-24.91-12.57</f>
        <v>2453.5</v>
      </c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2453.5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>
        <f>117-1.92+399</f>
        <v>514.08000000000004</v>
      </c>
      <c r="AB28" s="36"/>
      <c r="AC28" s="35">
        <f t="shared" si="0"/>
        <v>514.08000000000004</v>
      </c>
      <c r="AD28" s="35" t="s">
        <v>88</v>
      </c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>
        <f>1000-16.39</f>
        <v>983.61</v>
      </c>
      <c r="P31" s="35"/>
      <c r="Q31" s="35"/>
      <c r="R31" s="35"/>
      <c r="S31" s="35"/>
      <c r="T31" s="35">
        <f>271+387-6.34+260</f>
        <v>911.66</v>
      </c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1895.27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>
        <v>2000</v>
      </c>
      <c r="P32" s="35"/>
      <c r="Q32" s="35"/>
      <c r="R32" s="35"/>
      <c r="S32" s="35"/>
      <c r="T32" s="35">
        <v>758</v>
      </c>
      <c r="U32" s="35">
        <v>0</v>
      </c>
      <c r="V32" s="35">
        <v>0</v>
      </c>
      <c r="W32" s="35"/>
      <c r="X32" s="35"/>
      <c r="Y32" s="35">
        <f>1860-31.08</f>
        <v>1828.92</v>
      </c>
      <c r="Z32" s="35"/>
      <c r="AA32" s="35"/>
      <c r="AB32" s="36"/>
      <c r="AC32" s="35">
        <f t="shared" si="0"/>
        <v>4586.92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13308.64</v>
      </c>
      <c r="P33" s="12">
        <f t="shared" si="1"/>
        <v>1800</v>
      </c>
      <c r="Q33" s="12" t="str">
        <f t="shared" si="1"/>
        <v/>
      </c>
      <c r="R33" s="12">
        <f t="shared" si="1"/>
        <v>16436.79</v>
      </c>
      <c r="S33" s="12">
        <f t="shared" si="1"/>
        <v>2458.12</v>
      </c>
      <c r="T33" s="12">
        <f t="shared" si="1"/>
        <v>5511.4699999999993</v>
      </c>
      <c r="U33" s="12">
        <f t="shared" si="1"/>
        <v>0</v>
      </c>
      <c r="V33" s="12">
        <f t="shared" si="1"/>
        <v>0</v>
      </c>
      <c r="W33" s="12" t="str">
        <f t="shared" si="1"/>
        <v/>
      </c>
      <c r="X33" s="12">
        <f t="shared" si="1"/>
        <v>396.21000000000004</v>
      </c>
      <c r="Y33" s="12">
        <f t="shared" si="1"/>
        <v>3019.08</v>
      </c>
      <c r="Z33" s="12" t="str">
        <f t="shared" si="1"/>
        <v/>
      </c>
      <c r="AA33" s="12">
        <f t="shared" si="1"/>
        <v>6388.06</v>
      </c>
      <c r="AB33" s="38" t="str">
        <f t="shared" si="1"/>
        <v/>
      </c>
      <c r="AC33" s="12">
        <f t="shared" si="1"/>
        <v>153939.63999999998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topLeftCell="G16" zoomScaleNormal="100" workbookViewId="0">
      <selection activeCell="R3" sqref="R3"/>
    </sheetView>
  </sheetViews>
  <sheetFormatPr baseColWidth="10" defaultColWidth="10.7109375" defaultRowHeight="15" x14ac:dyDescent="0.25"/>
  <cols>
    <col min="1" max="1" width="8" customWidth="1"/>
    <col min="2" max="12" width="13" customWidth="1"/>
    <col min="13" max="13" width="15.7109375" customWidth="1"/>
    <col min="14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859.68-13.39</f>
        <v>846.29</v>
      </c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846.29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>
        <f t="shared" si="1"/>
        <v>846.29</v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846.29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2026-09-02T11:09:23Z</dcterms:modified>
  <dc:language>en-US</dc:language>
</cp:coreProperties>
</file>