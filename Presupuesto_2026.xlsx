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1BBACBFF-BA33-4D10-8D75-BC4861ED8D97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4" i="1" l="1"/>
  <c r="Q23" i="2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<sst xmlns="http://schemas.openxmlformats.org/spreadsheetml/2006/main" count="373" uniqueCount="68">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</sst>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T1" zoomScaleNormal="100" workbookViewId="0">
      <selection activeCell="AD14" sqref="AD14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5.85546875" style="1" bestFit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67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500</v>
      </c>
      <c r="Z3" s="1">
        <v>4000</v>
      </c>
      <c r="AA3" s="1">
        <f t="shared" ref="AA3:AA10" si="0">SUM(B3:Z3)</f>
        <v>169650</v>
      </c>
      <c r="AB3" s="5">
        <f t="shared" ref="AB3:AB10" si="1">+AA3/2</f>
        <v>84825</v>
      </c>
      <c r="AC3" s="1">
        <v>10000</v>
      </c>
      <c r="AD3" s="5">
        <f t="shared" ref="AD3:AD10" si="2">+AE3-AB3-AC3</f>
        <v>175</v>
      </c>
      <c r="AE3" s="1">
        <v>95000</v>
      </c>
      <c r="AF3" s="6">
        <f>AA3/2-L3</f>
        <v>62625</v>
      </c>
      <c r="AG3" s="7">
        <f t="shared" ref="AG3:AG10" si="3">AA3/2-D3</f>
        <v>69325</v>
      </c>
      <c r="AH3" s="8">
        <f t="shared" ref="AH3:AH10" si="4">AF3+AG3</f>
        <v>131950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f>1350+2500</f>
        <v>3850</v>
      </c>
      <c r="Z4" s="1">
        <v>4000</v>
      </c>
      <c r="AA4" s="1">
        <f t="shared" si="0"/>
        <v>142100</v>
      </c>
      <c r="AB4" s="5">
        <f t="shared" si="1"/>
        <v>71050</v>
      </c>
      <c r="AC4" s="1">
        <v>10000</v>
      </c>
      <c r="AD4" s="5">
        <f t="shared" si="2"/>
        <v>13950</v>
      </c>
      <c r="AE4" s="1">
        <v>95000</v>
      </c>
      <c r="AF4" s="6">
        <f t="shared" ref="AF4:AF10" si="5">AA4/2-L4</f>
        <v>63550</v>
      </c>
      <c r="AG4" s="7">
        <f t="shared" si="3"/>
        <v>55550</v>
      </c>
      <c r="AH4" s="8">
        <f t="shared" si="4"/>
        <v>119100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Z5" s="1">
        <v>4000</v>
      </c>
      <c r="AA5" s="1">
        <f t="shared" si="0"/>
        <v>133869</v>
      </c>
      <c r="AB5" s="5">
        <f t="shared" si="1"/>
        <v>66934.5</v>
      </c>
      <c r="AC5" s="1">
        <v>10000</v>
      </c>
      <c r="AD5" s="5">
        <f t="shared" si="2"/>
        <v>18065.5</v>
      </c>
      <c r="AE5" s="1">
        <v>95000</v>
      </c>
      <c r="AF5" s="6">
        <f t="shared" si="5"/>
        <v>59434.5</v>
      </c>
      <c r="AG5" s="7">
        <f t="shared" si="3"/>
        <v>51434.5</v>
      </c>
      <c r="AH5" s="8">
        <f t="shared" si="4"/>
        <v>110869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Z6" s="1">
        <v>4000</v>
      </c>
      <c r="AA6" s="1">
        <f t="shared" si="0"/>
        <v>128000</v>
      </c>
      <c r="AB6" s="5">
        <f t="shared" si="1"/>
        <v>64000</v>
      </c>
      <c r="AC6" s="1">
        <v>10000</v>
      </c>
      <c r="AD6" s="5">
        <f t="shared" si="2"/>
        <v>21000</v>
      </c>
      <c r="AE6" s="1">
        <v>95000</v>
      </c>
      <c r="AF6" s="6">
        <f t="shared" si="5"/>
        <v>56500</v>
      </c>
      <c r="AG6" s="7">
        <f t="shared" si="3"/>
        <v>48500</v>
      </c>
      <c r="AH6" s="8">
        <f t="shared" si="4"/>
        <v>105000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1350</v>
      </c>
      <c r="Z7" s="1">
        <v>4000</v>
      </c>
      <c r="AA7" s="1">
        <f t="shared" si="0"/>
        <v>158719</v>
      </c>
      <c r="AB7" s="5">
        <f t="shared" si="1"/>
        <v>79359.5</v>
      </c>
      <c r="AC7" s="1">
        <v>10000</v>
      </c>
      <c r="AD7" s="5">
        <f t="shared" si="2"/>
        <v>5640.5</v>
      </c>
      <c r="AE7" s="1">
        <v>95000</v>
      </c>
      <c r="AF7" s="6">
        <f t="shared" si="5"/>
        <v>71859.5</v>
      </c>
      <c r="AG7" s="7">
        <f t="shared" si="3"/>
        <v>63859.5</v>
      </c>
      <c r="AH7" s="8">
        <f t="shared" si="4"/>
        <v>135719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Z8" s="1">
        <v>4000</v>
      </c>
      <c r="AA8" s="1">
        <f t="shared" si="0"/>
        <v>143300</v>
      </c>
      <c r="AB8" s="5">
        <f t="shared" si="1"/>
        <v>71650</v>
      </c>
      <c r="AC8" s="1">
        <v>10000</v>
      </c>
      <c r="AD8" s="5">
        <f t="shared" si="2"/>
        <v>13350</v>
      </c>
      <c r="AE8" s="1">
        <v>95000</v>
      </c>
      <c r="AF8" s="6">
        <f t="shared" si="5"/>
        <v>64150</v>
      </c>
      <c r="AG8" s="7">
        <f t="shared" si="3"/>
        <v>56150</v>
      </c>
      <c r="AH8" s="8">
        <f t="shared" si="4"/>
        <v>120300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Z9" s="1">
        <v>4000</v>
      </c>
      <c r="AA9" s="1">
        <f t="shared" si="0"/>
        <v>134169</v>
      </c>
      <c r="AB9" s="5">
        <f t="shared" si="1"/>
        <v>67084.5</v>
      </c>
      <c r="AC9" s="1">
        <v>10000</v>
      </c>
      <c r="AD9" s="5">
        <f t="shared" si="2"/>
        <v>17915.5</v>
      </c>
      <c r="AE9" s="1">
        <v>95000</v>
      </c>
      <c r="AF9" s="6">
        <f t="shared" si="5"/>
        <v>59584.5</v>
      </c>
      <c r="AG9" s="7">
        <f t="shared" si="3"/>
        <v>51584.5</v>
      </c>
      <c r="AH9" s="8">
        <f t="shared" si="4"/>
        <v>111169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1350</v>
      </c>
      <c r="Z10" s="1">
        <v>4000</v>
      </c>
      <c r="AA10" s="1">
        <f t="shared" si="0"/>
        <v>150050</v>
      </c>
      <c r="AB10" s="5">
        <f t="shared" si="1"/>
        <v>75025</v>
      </c>
      <c r="AC10" s="1">
        <v>10000</v>
      </c>
      <c r="AD10" s="5">
        <f t="shared" si="2"/>
        <v>9975</v>
      </c>
      <c r="AE10" s="1">
        <v>95000</v>
      </c>
      <c r="AF10" s="6">
        <f t="shared" si="5"/>
        <v>67525</v>
      </c>
      <c r="AG10" s="7">
        <f t="shared" si="3"/>
        <v>59525</v>
      </c>
      <c r="AH10" s="8">
        <f t="shared" si="4"/>
        <v>127050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67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9325.41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14436.940000000002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285.25</v>
      </c>
      <c r="W14" s="1">
        <f>IF(Mayo!W33&gt;0,Mayo!W33,"")</f>
        <v>709.08999999999992</v>
      </c>
      <c r="X14" s="1" t="str">
        <f>IF(Mayo!X33&gt;0,Mayo!X33,"")</f>
        <v/>
      </c>
      <c r="Y14" s="1">
        <f>IF(Mayo!Y33&gt;0,Mayo!Y33,"")</f>
        <v>500</v>
      </c>
      <c r="Z14" s="1">
        <f>IF(Mayo!Z33&gt;0,Mayo!Z33,"")</f>
        <v>3879.3399999999997</v>
      </c>
      <c r="AA14" s="1">
        <f>IF(Mayo!AA33&gt;0,Mayo!AA33,"")</f>
        <v>149444.24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67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674.59000000000015</v>
      </c>
      <c r="O25" s="1" t="str">
        <f>IF(ISNUMBER(Mayo!O33),O3-Mayo!O33,"")</f>
        <v/>
      </c>
      <c r="P25" s="1">
        <f>IF(ISNUMBER(Mayo!P33),P3-Mayo!P33,"")</f>
        <v>50.820000000000164</v>
      </c>
      <c r="Q25" s="1">
        <f>IF(ISNUMBER(Mayo!Q33),Q3-Mayo!Q33,"")</f>
        <v>5563.0599999999977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2714.75</v>
      </c>
      <c r="W25" s="1">
        <f>IF(ISNUMBER(Mayo!W33),W3-Mayo!W33,"")</f>
        <v>790.91000000000008</v>
      </c>
      <c r="X25" s="1" t="str">
        <f>IF(ISNUMBER(Mayo!X33),X3-Mayo!X33,"")</f>
        <v/>
      </c>
      <c r="Y25" s="1">
        <f>IF(ISNUMBER(Mayo!Y33),Y3-Mayo!Y33,"")</f>
        <v>0</v>
      </c>
      <c r="Z25" s="1">
        <f>IF(ISNUMBER(Mayo!Z33),Z3-Mayo!Z33,"")</f>
        <v>120.66000000000031</v>
      </c>
      <c r="AA25" s="10">
        <f t="shared" ref="AA25:AA33" si="6">SUMIF(B25:Z25,"&lt;&gt;"&amp;"")</f>
        <v>13905.759999999995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674.59000000000015</v>
      </c>
      <c r="O33" s="10">
        <f t="shared" si="7"/>
        <v>0</v>
      </c>
      <c r="P33" s="10">
        <f t="shared" si="7"/>
        <v>50.820000000000164</v>
      </c>
      <c r="Q33" s="10">
        <f t="shared" si="7"/>
        <v>5563.0599999999977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2714.75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120.66000000000031</v>
      </c>
      <c r="AA33" s="10">
        <f t="shared" si="6"/>
        <v>13905.759999999995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O17" zoomScaleNormal="100" workbookViewId="0">
      <selection activeCell="Z23" sqref="Z23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2.425781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66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>
        <v>500</v>
      </c>
      <c r="Z22" s="14"/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9325.41</v>
      </c>
      <c r="O33" s="10" t="str">
        <f t="shared" si="1"/>
        <v/>
      </c>
      <c r="P33" s="10">
        <f t="shared" si="1"/>
        <v>2449.1799999999998</v>
      </c>
      <c r="Q33" s="10">
        <f t="shared" si="1"/>
        <v>14436.940000000002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285.25</v>
      </c>
      <c r="W33" s="10">
        <f t="shared" si="1"/>
        <v>709.08999999999992</v>
      </c>
      <c r="X33" s="10" t="str">
        <f t="shared" si="1"/>
        <v/>
      </c>
      <c r="Y33" s="10">
        <f t="shared" si="1"/>
        <v>500</v>
      </c>
      <c r="Z33" s="10">
        <f t="shared" si="1"/>
        <v>3879.3399999999997</v>
      </c>
      <c r="AA33" s="10">
        <f t="shared" si="1"/>
        <v>149444.24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2026-05-23T10:53:59Z</dcterms:modified>
  <dc:language>en-US</dc:language>
</cp:coreProperties>
</file>