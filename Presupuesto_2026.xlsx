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Z28" i="1" s="1"/>
  <c r="Y33" i="5"/>
  <c r="X33" i="5"/>
  <c r="X17" i="1" s="1"/>
  <c r="W33" i="5"/>
  <c r="V33" i="5"/>
  <c r="V28" i="1" s="1"/>
  <c r="U33" i="5"/>
  <c r="U28" i="1" s="1"/>
  <c r="T33" i="5"/>
  <c r="T28" i="1" s="1"/>
  <c r="S33" i="5"/>
  <c r="R33" i="5"/>
  <c r="R28" i="1" s="1"/>
  <c r="Q33" i="5"/>
  <c r="P33" i="5"/>
  <c r="O33" i="5"/>
  <c r="N33" i="5"/>
  <c r="N28" i="1" s="1"/>
  <c r="M33" i="5"/>
  <c r="M28" i="1" s="1"/>
  <c r="L33" i="5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AC30" i="1" s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Y28" i="1"/>
  <c r="W28" i="1"/>
  <c r="S28" i="1"/>
  <c r="Q28" i="1"/>
  <c r="P28" i="1"/>
  <c r="O28" i="1"/>
  <c r="L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W17" i="1"/>
  <c r="U17" i="1"/>
  <c r="T17" i="1"/>
  <c r="S17" i="1"/>
  <c r="Q17" i="1"/>
  <c r="P17" i="1"/>
  <c r="O17" i="1"/>
  <c r="M17" i="1"/>
  <c r="L17" i="1"/>
  <c r="K17" i="1"/>
  <c r="J17" i="1"/>
  <c r="I17" i="1"/>
  <c r="H17" i="1"/>
  <c r="G17" i="1"/>
  <c r="E17" i="1"/>
  <c r="D17" i="1"/>
  <c r="C17" i="1"/>
  <c r="B17" i="1"/>
  <c r="AC16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X28" i="1" l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AC29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J6" i="1" l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<sst xmlns="http://schemas.openxmlformats.org/spreadsheetml/2006/main" count="404" uniqueCount="80">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</sst>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abSelected="1" zoomScaleNormal="100" workbookViewId="0">
      <selection activeCell="F18" sqref="F18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1015</v>
      </c>
      <c r="H6" s="1">
        <v>3500</v>
      </c>
      <c r="I6" s="1">
        <v>3000</v>
      </c>
      <c r="J6" s="1">
        <v>1000</v>
      </c>
      <c r="K6" s="1">
        <v>18000</v>
      </c>
      <c r="L6" s="1">
        <v>12000</v>
      </c>
      <c r="M6" s="1">
        <v>17000</v>
      </c>
      <c r="N6" s="1">
        <v>810</v>
      </c>
      <c r="O6" s="1">
        <v>8000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Z6" s="1">
        <v>1000</v>
      </c>
      <c r="AA6" s="1">
        <v>5000</v>
      </c>
      <c r="AB6" s="6"/>
      <c r="AC6" s="1">
        <f>SUM(B6:AB6)</f>
        <v>150325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58162.5</v>
      </c>
      <c r="AI6" s="9">
        <f t="shared" si="4"/>
        <v>59562.5</v>
      </c>
      <c r="AJ6" s="10">
        <f t="shared" si="5"/>
        <v>117725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1015</v>
      </c>
      <c r="H7" s="1">
        <v>3500</v>
      </c>
      <c r="I7" s="1">
        <v>3000</v>
      </c>
      <c r="J7" s="1">
        <v>1000</v>
      </c>
      <c r="K7" s="1">
        <v>18000</v>
      </c>
      <c r="L7" s="1">
        <v>10000</v>
      </c>
      <c r="M7" s="1">
        <v>7500</v>
      </c>
      <c r="N7" s="1">
        <v>810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U7" s="1">
        <v>12000</v>
      </c>
      <c r="W7" s="1">
        <v>3000</v>
      </c>
      <c r="X7" s="1">
        <v>1500</v>
      </c>
      <c r="Y7" s="1">
        <v>2000</v>
      </c>
      <c r="AA7" s="1">
        <v>5000</v>
      </c>
      <c r="AB7" s="6"/>
      <c r="AC7" s="1">
        <f t="shared" si="0"/>
        <v>175644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80322</v>
      </c>
      <c r="AI7" s="9">
        <f t="shared" si="4"/>
        <v>72172</v>
      </c>
      <c r="AJ7" s="10">
        <f t="shared" si="5"/>
        <v>152494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1015</v>
      </c>
      <c r="H8" s="1">
        <v>3500</v>
      </c>
      <c r="I8" s="1">
        <v>3000</v>
      </c>
      <c r="J8" s="1">
        <v>1000</v>
      </c>
      <c r="K8" s="1">
        <v>18000</v>
      </c>
      <c r="L8" s="1">
        <v>10000</v>
      </c>
      <c r="M8" s="1">
        <v>7500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137575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61287.5</v>
      </c>
      <c r="AI8" s="9">
        <f t="shared" si="4"/>
        <v>53137.5</v>
      </c>
      <c r="AJ8" s="10">
        <f t="shared" si="5"/>
        <v>114425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1015</v>
      </c>
      <c r="H9" s="1">
        <v>3500</v>
      </c>
      <c r="I9" s="1">
        <v>3000</v>
      </c>
      <c r="J9" s="1">
        <v>1000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140494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62747</v>
      </c>
      <c r="AI9" s="9">
        <f t="shared" si="4"/>
        <v>54547</v>
      </c>
      <c r="AJ9" s="10">
        <f t="shared" si="5"/>
        <v>117294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1015</v>
      </c>
      <c r="H10" s="1">
        <v>3500</v>
      </c>
      <c r="I10" s="1">
        <v>3000</v>
      </c>
      <c r="J10" s="1">
        <v>1000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156375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70687.5</v>
      </c>
      <c r="AI10" s="9">
        <f t="shared" si="4"/>
        <v>62487.5</v>
      </c>
      <c r="AJ10" s="10">
        <f t="shared" si="5"/>
        <v>133175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>
        <f>IF(Agosto!O33&gt;0,Agosto!O33,"")</f>
        <v>491.81</v>
      </c>
      <c r="P17" s="1" t="str">
        <f>IF(Agosto!P33&gt;0,Agosto!P33,"")</f>
        <v/>
      </c>
      <c r="Q17" s="1" t="str">
        <f>IF(Agosto!Q33&gt;0,Agosto!Q33,"")</f>
        <v/>
      </c>
      <c r="R17" s="1">
        <f>IF(Agosto!R33&gt;0,Agosto!R33,"")</f>
        <v>1219.6400000000001</v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181.21</v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>
        <f>IF(ISNUMBER(Agosto!O33),O6-Agosto!O33,"")</f>
        <v>7508.19</v>
      </c>
      <c r="P28" s="1" t="str">
        <f>IF(ISNUMBER(Agosto!P33),P6-Agosto!P33,"")</f>
        <v/>
      </c>
      <c r="Q28" s="1" t="str">
        <f>IF(ISNUMBER(Agosto!Q33),Q6-Agosto!Q33,"")</f>
        <v/>
      </c>
      <c r="R28" s="1">
        <f>IF(ISNUMBER(Agosto!R33),R6-Agosto!R33,"")</f>
        <v>18780.36</v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>
        <f>IF(ISNUMBER(Agosto!X33),X6-Agosto!X33,"")</f>
        <v>1318.79</v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27607.34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18923.03</v>
      </c>
      <c r="P33" s="12">
        <f t="shared" si="8"/>
        <v>1800</v>
      </c>
      <c r="Q33" s="12">
        <f t="shared" si="8"/>
        <v>50.820000000000164</v>
      </c>
      <c r="R33" s="12">
        <f t="shared" si="8"/>
        <v>19535.02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3394.7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17638.07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A25" zoomScaleNormal="100" workbookViewId="0">
      <selection activeCell="C32" sqref="C32:AA32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topLeftCell="M1" zoomScaleNormal="100" workbookViewId="0">
      <selection activeCell="P4" sqref="P4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6.7109375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>
        <f t="shared" si="1"/>
        <v>491.81</v>
      </c>
      <c r="P33" s="12" t="str">
        <f t="shared" si="1"/>
        <v/>
      </c>
      <c r="Q33" s="12" t="str">
        <f t="shared" si="1"/>
        <v/>
      </c>
      <c r="R33" s="12">
        <f t="shared" si="1"/>
        <v>1219.6400000000001</v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>
        <f t="shared" si="1"/>
        <v>181.21</v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1892.66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2026-08-04T11:42:55Z</dcterms:modified>
  <dc:language>en-US</dc:language>
</cp:coreProperties>
</file>