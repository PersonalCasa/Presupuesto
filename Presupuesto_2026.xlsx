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AA28" i="1" s="1"/>
  <c r="Z33" i="5"/>
  <c r="Z28" i="1" s="1"/>
  <c r="Y33" i="5"/>
  <c r="X33" i="5"/>
  <c r="X17" i="1" s="1"/>
  <c r="W33" i="5"/>
  <c r="V33" i="5"/>
  <c r="V28" i="1" s="1"/>
  <c r="U33" i="5"/>
  <c r="U28" i="1" s="1"/>
  <c r="T33" i="5"/>
  <c r="T28" i="1" s="1"/>
  <c r="S33" i="5"/>
  <c r="R33" i="5"/>
  <c r="R28" i="1" s="1"/>
  <c r="Q33" i="5"/>
  <c r="P33" i="5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AC15" i="1" s="1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Y28" i="1"/>
  <c r="W28" i="1"/>
  <c r="S28" i="1"/>
  <c r="Q28" i="1"/>
  <c r="P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Z17" i="1"/>
  <c r="Y17" i="1"/>
  <c r="W17" i="1"/>
  <c r="U17" i="1"/>
  <c r="S17" i="1"/>
  <c r="Q17" i="1"/>
  <c r="P17" i="1"/>
  <c r="M17" i="1"/>
  <c r="K17" i="1"/>
  <c r="J17" i="1"/>
  <c r="I17" i="1"/>
  <c r="H17" i="1"/>
  <c r="G17" i="1"/>
  <c r="E17" i="1"/>
  <c r="D17" i="1"/>
  <c r="C17" i="1"/>
  <c r="B17" i="1"/>
  <c r="AC16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AC30" i="1" l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AC29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W33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O33" i="1" s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J6" i="1" l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<sst xmlns="http://schemas.openxmlformats.org/spreadsheetml/2006/main" count="406" uniqueCount="82">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</sst>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abSelected="1" topLeftCell="V2" zoomScaleNormal="100" workbookViewId="0">
      <selection activeCell="AI6" sqref="AI6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15690.71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152423.67999999999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57211.839999999997</v>
      </c>
      <c r="AI6" s="9">
        <f t="shared" si="4"/>
        <v>60521.13</v>
      </c>
      <c r="AJ6" s="10">
        <f t="shared" si="5"/>
        <v>117732.97</v>
      </c>
    </row>
    <row r="7" spans="1:36" ht="15" customHeight="1" x14ac:dyDescent="0.25">
      <c r="A7" s="1" t="s">
        <v>41</v>
      </c>
      <c r="B7" s="1">
        <v>25000</v>
      </c>
      <c r="C7" s="1">
        <v>4369</v>
      </c>
      <c r="D7" s="1">
        <v>15750</v>
      </c>
      <c r="E7" s="1">
        <v>0</v>
      </c>
      <c r="F7" s="1">
        <v>26100</v>
      </c>
      <c r="G7" s="1">
        <v>1015</v>
      </c>
      <c r="H7" s="1">
        <v>3500</v>
      </c>
      <c r="I7" s="1">
        <v>3000</v>
      </c>
      <c r="J7" s="1">
        <v>700</v>
      </c>
      <c r="K7" s="1">
        <v>18000</v>
      </c>
      <c r="L7" s="1">
        <v>10000</v>
      </c>
      <c r="M7" s="1">
        <v>7500</v>
      </c>
      <c r="N7" s="1">
        <v>810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U7" s="1">
        <v>12000</v>
      </c>
      <c r="W7" s="1">
        <v>3000</v>
      </c>
      <c r="X7" s="1">
        <v>1500</v>
      </c>
      <c r="Y7" s="1">
        <v>2000</v>
      </c>
      <c r="AA7" s="1">
        <v>5000</v>
      </c>
      <c r="AB7" s="6"/>
      <c r="AC7" s="1">
        <f t="shared" si="0"/>
        <v>175444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80222</v>
      </c>
      <c r="AI7" s="9">
        <f t="shared" si="4"/>
        <v>71972</v>
      </c>
      <c r="AJ7" s="10">
        <f t="shared" si="5"/>
        <v>152194</v>
      </c>
    </row>
    <row r="8" spans="1:36" ht="15" customHeight="1" x14ac:dyDescent="0.25">
      <c r="A8" s="1" t="s">
        <v>42</v>
      </c>
      <c r="D8" s="1">
        <v>15750</v>
      </c>
      <c r="E8" s="1">
        <v>0</v>
      </c>
      <c r="F8" s="1">
        <v>26100</v>
      </c>
      <c r="G8" s="1">
        <v>1015</v>
      </c>
      <c r="H8" s="1">
        <v>3500</v>
      </c>
      <c r="I8" s="1">
        <v>3000</v>
      </c>
      <c r="J8" s="1">
        <v>700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 t="shared" si="0"/>
        <v>137375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61187.5</v>
      </c>
      <c r="AI8" s="9">
        <f t="shared" si="4"/>
        <v>52937.5</v>
      </c>
      <c r="AJ8" s="10">
        <f t="shared" si="5"/>
        <v>114125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26100</v>
      </c>
      <c r="G9" s="1">
        <v>1015</v>
      </c>
      <c r="H9" s="1">
        <v>3500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140294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62647</v>
      </c>
      <c r="AI9" s="9">
        <f t="shared" si="4"/>
        <v>54347</v>
      </c>
      <c r="AJ9" s="10">
        <f t="shared" si="5"/>
        <v>116994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1015</v>
      </c>
      <c r="H10" s="1">
        <v>3500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156175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70587.5</v>
      </c>
      <c r="AI10" s="9">
        <f t="shared" si="4"/>
        <v>62287.5</v>
      </c>
      <c r="AJ10" s="10">
        <f t="shared" si="5"/>
        <v>132875</v>
      </c>
    </row>
    <row r="12" spans="1:36" ht="15" customHeight="1" x14ac:dyDescent="0.25">
      <c r="A12" s="42" t="s">
        <v>45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  <c r="AC15" s="1">
        <f>IF(Junio!AC32&gt;0,Junio!AC32,"")</f>
        <v>17322.899999999998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 t="str">
        <f>IF(Agosto!J33&gt;0,Agosto!J33,"")</f>
        <v/>
      </c>
      <c r="K17" s="1">
        <f>IF(Agosto!K33&gt;0,Agosto!K33,"")</f>
        <v>17999.740000000002</v>
      </c>
      <c r="L17" s="1">
        <f>IF(Agosto!L33&gt;0,Agosto!L33,"")</f>
        <v>13997.56</v>
      </c>
      <c r="M17" s="1" t="str">
        <f>IF(Agosto!M33&gt;0,Agosto!M33,"")</f>
        <v/>
      </c>
      <c r="N17" s="1" t="str">
        <f>IF(Agosto!N33&gt;0,Agosto!N33,"")</f>
        <v/>
      </c>
      <c r="O17" s="1">
        <f>IF(Agosto!O33&gt;0,Agosto!O33,"")</f>
        <v>4041.22</v>
      </c>
      <c r="P17" s="1" t="str">
        <f>IF(Agosto!P33&gt;0,Agosto!P33,"")</f>
        <v/>
      </c>
      <c r="Q17" s="1" t="str">
        <f>IF(Agosto!Q33&gt;0,Agosto!Q33,"")</f>
        <v/>
      </c>
      <c r="R17" s="1">
        <f>IF(Agosto!R33&gt;0,Agosto!R33,"")</f>
        <v>5674.48</v>
      </c>
      <c r="S17" s="1" t="str">
        <f>IF(Agosto!S33&gt;0,Agosto!S33,"")</f>
        <v/>
      </c>
      <c r="T17" s="1">
        <f>IF(Agosto!T33&gt;0,Agosto!T33,"")</f>
        <v>1882.2299999999998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181.21</v>
      </c>
      <c r="Y17" s="1" t="str">
        <f>IF(Agosto!Y33&gt;0,Agosto!Y33,"")</f>
        <v/>
      </c>
      <c r="Z17" s="1" t="str">
        <f>IF(Agosto!Z33&gt;0,Agosto!Z33,"")</f>
        <v/>
      </c>
      <c r="AA17" s="1">
        <f>IF(Agosto!AA33&gt;0,Agosto!AA33,"")</f>
        <v>1229.01</v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3" t="s">
        <v>48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 t="str">
        <f>IF(ISNUMBER(Agosto!J33),J6-Agosto!J33,"")</f>
        <v/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 t="str">
        <f>IF(ISNUMBER(Agosto!M33),M6-Agosto!M33,"")</f>
        <v/>
      </c>
      <c r="N28" s="1" t="str">
        <f>IF(ISNUMBER(Agosto!N33),N6-Agosto!N33,"")</f>
        <v/>
      </c>
      <c r="O28" s="1">
        <f>IF(ISNUMBER(Agosto!O33),O6-Agosto!O33,"")</f>
        <v>3958.78</v>
      </c>
      <c r="P28" s="1" t="str">
        <f>IF(ISNUMBER(Agosto!P33),P6-Agosto!P33,"")</f>
        <v/>
      </c>
      <c r="Q28" s="1" t="str">
        <f>IF(ISNUMBER(Agosto!Q33),Q6-Agosto!Q33,"")</f>
        <v/>
      </c>
      <c r="R28" s="1">
        <f>IF(ISNUMBER(Agosto!R33),R6-Agosto!R33,"")</f>
        <v>14325.52</v>
      </c>
      <c r="S28" s="1" t="str">
        <f>IF(ISNUMBER(Agosto!S33),S6-Agosto!S33,"")</f>
        <v/>
      </c>
      <c r="T28" s="1">
        <f>IF(ISNUMBER(Agosto!T33),T6-Agosto!T33,"")</f>
        <v>3117.7700000000004</v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>
        <f>IF(ISNUMBER(Agosto!X33),X6-Agosto!X33,"")</f>
        <v>1318.79</v>
      </c>
      <c r="Y28" s="1" t="str">
        <f>IF(ISNUMBER(Agosto!Y33),Y6-Agosto!Y33,"")</f>
        <v/>
      </c>
      <c r="Z28" s="1" t="str">
        <f>IF(ISNUMBER(Agosto!Z33),Z6-Agosto!Z33,"")</f>
        <v/>
      </c>
      <c r="AA28" s="1">
        <f>IF(ISNUMBER(Agosto!AA33),AA6-Agosto!AA33,"")</f>
        <v>3770.99</v>
      </c>
      <c r="AC28" s="12">
        <f t="shared" si="7"/>
        <v>26494.550000000003</v>
      </c>
    </row>
    <row r="29" spans="1:29" ht="15" customHeight="1" x14ac:dyDescent="0.25">
      <c r="A29" s="1" t="s">
        <v>41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-360.81999999999971</v>
      </c>
      <c r="F33" s="12">
        <f t="shared" si="8"/>
        <v>-1886</v>
      </c>
      <c r="G33" s="12">
        <f t="shared" si="8"/>
        <v>5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14.069999999998345</v>
      </c>
      <c r="L33" s="12">
        <f t="shared" si="8"/>
        <v>329.53999999999724</v>
      </c>
      <c r="M33" s="12">
        <f t="shared" si="8"/>
        <v>-13596.369999999999</v>
      </c>
      <c r="N33" s="12">
        <f t="shared" si="8"/>
        <v>80</v>
      </c>
      <c r="O33" s="12">
        <f t="shared" si="8"/>
        <v>15373.62</v>
      </c>
      <c r="P33" s="12">
        <f t="shared" si="8"/>
        <v>1800</v>
      </c>
      <c r="Q33" s="12">
        <f t="shared" si="8"/>
        <v>50.820000000000164</v>
      </c>
      <c r="R33" s="12">
        <f t="shared" si="8"/>
        <v>15080.18</v>
      </c>
      <c r="S33" s="12">
        <f t="shared" si="8"/>
        <v>1893.8000000000002</v>
      </c>
      <c r="T33" s="12">
        <f t="shared" si="8"/>
        <v>4856.2700000000004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3394.7</v>
      </c>
      <c r="Y33" s="12">
        <f t="shared" si="8"/>
        <v>-213.27999999999975</v>
      </c>
      <c r="Z33" s="12">
        <f t="shared" si="8"/>
        <v>-1650</v>
      </c>
      <c r="AA33" s="12">
        <f t="shared" si="8"/>
        <v>-12779.819999999998</v>
      </c>
      <c r="AC33" s="12">
        <f t="shared" si="7"/>
        <v>16525.28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P23" zoomScaleNormal="100" workbookViewId="0">
      <selection activeCell="W32" sqref="W3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topLeftCell="K12" zoomScaleNormal="100" workbookViewId="0">
      <selection activeCell="AC25" sqref="AC2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A25" zoomScaleNormal="100" workbookViewId="0">
      <selection activeCell="C32" sqref="C32:AA32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M1" zoomScaleNormal="100" workbookViewId="0">
      <selection activeCell="R12" sqref="R1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6.7109375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/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27634.050000000003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 t="str">
        <f t="shared" si="1"/>
        <v/>
      </c>
      <c r="K33" s="12">
        <f t="shared" si="1"/>
        <v>17999.740000000002</v>
      </c>
      <c r="L33" s="12">
        <f t="shared" si="1"/>
        <v>13997.56</v>
      </c>
      <c r="M33" s="12" t="str">
        <f t="shared" si="1"/>
        <v/>
      </c>
      <c r="N33" s="12" t="str">
        <f t="shared" si="1"/>
        <v/>
      </c>
      <c r="O33" s="12">
        <f t="shared" si="1"/>
        <v>4041.22</v>
      </c>
      <c r="P33" s="12" t="str">
        <f t="shared" si="1"/>
        <v/>
      </c>
      <c r="Q33" s="12" t="str">
        <f t="shared" si="1"/>
        <v/>
      </c>
      <c r="R33" s="12">
        <f t="shared" si="1"/>
        <v>5674.48</v>
      </c>
      <c r="S33" s="12" t="str">
        <f t="shared" si="1"/>
        <v/>
      </c>
      <c r="T33" s="12">
        <f t="shared" si="1"/>
        <v>1882.2299999999998</v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>
        <f t="shared" si="1"/>
        <v>181.21</v>
      </c>
      <c r="Y33" s="12" t="str">
        <f t="shared" si="1"/>
        <v/>
      </c>
      <c r="Z33" s="12" t="str">
        <f t="shared" si="1"/>
        <v/>
      </c>
      <c r="AA33" s="12">
        <f t="shared" si="1"/>
        <v>1229.01</v>
      </c>
      <c r="AB33" s="38" t="str">
        <f t="shared" si="1"/>
        <v/>
      </c>
      <c r="AC33" s="12">
        <f t="shared" si="1"/>
        <v>81428.420000000013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2026-08-13T11:19:45Z</dcterms:modified>
  <dc:language>en-US</dc:language>
</cp:coreProperties>
</file>