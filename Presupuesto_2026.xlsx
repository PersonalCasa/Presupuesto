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899DD884-CEF8-43C5-B438-4E617E4A4F76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2" i="2" l="1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7" i="2"/>
  <c r="AA6" i="2"/>
  <c r="AA5" i="2"/>
  <c r="AA4" i="2"/>
  <c r="AA3" i="2"/>
  <c r="AA2" i="2"/>
  <c r="AA32" i="1" l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T14" i="1"/>
  <c r="T25" i="1"/>
  <c r="T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AH4" i="1" l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<sst xmlns="http://schemas.openxmlformats.org/spreadsheetml/2006/main" count="371" uniqueCount="64">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</sst>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P1" zoomScaleNormal="100" workbookViewId="0">
      <selection activeCell="AG3" sqref="AG3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3" style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750</v>
      </c>
      <c r="Z3" s="1">
        <v>4000</v>
      </c>
      <c r="AA3" s="1">
        <f t="shared" ref="AA3:AA10" si="0">SUM(B3:Z3)</f>
        <v>169900</v>
      </c>
      <c r="AB3" s="5">
        <f t="shared" ref="AB3:AB10" si="1">+AA3/2</f>
        <v>84950</v>
      </c>
      <c r="AC3" s="1">
        <v>10000</v>
      </c>
      <c r="AD3" s="5">
        <f t="shared" ref="AD3:AD10" si="2">+AE3-AB3-AC3</f>
        <v>50</v>
      </c>
      <c r="AE3" s="1">
        <v>95000</v>
      </c>
      <c r="AF3" s="6">
        <f>AA3/2-L3</f>
        <v>62750</v>
      </c>
      <c r="AG3" s="7">
        <f t="shared" ref="AG3:AG10" si="3">AA3/2-D3</f>
        <v>69450</v>
      </c>
      <c r="AH3" s="8">
        <f t="shared" ref="AH3:AH10" si="4">AF3+AG3</f>
        <v>132200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v>750</v>
      </c>
      <c r="Z4" s="1">
        <v>4000</v>
      </c>
      <c r="AA4" s="1">
        <f t="shared" si="0"/>
        <v>139000</v>
      </c>
      <c r="AB4" s="5">
        <f t="shared" si="1"/>
        <v>69500</v>
      </c>
      <c r="AC4" s="1">
        <v>10000</v>
      </c>
      <c r="AD4" s="5">
        <f t="shared" si="2"/>
        <v>15500</v>
      </c>
      <c r="AE4" s="1">
        <v>95000</v>
      </c>
      <c r="AF4" s="6">
        <f t="shared" ref="AF4:AF10" si="5">AA4/2-L4</f>
        <v>62000</v>
      </c>
      <c r="AG4" s="7">
        <f t="shared" si="3"/>
        <v>54000</v>
      </c>
      <c r="AH4" s="8">
        <f t="shared" si="4"/>
        <v>116000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Y5" s="1">
        <v>750</v>
      </c>
      <c r="Z5" s="1">
        <v>4000</v>
      </c>
      <c r="AA5" s="1">
        <f t="shared" si="0"/>
        <v>134619</v>
      </c>
      <c r="AB5" s="5">
        <f t="shared" si="1"/>
        <v>67309.5</v>
      </c>
      <c r="AC5" s="1">
        <v>10000</v>
      </c>
      <c r="AD5" s="5">
        <f t="shared" si="2"/>
        <v>17690.5</v>
      </c>
      <c r="AE5" s="1">
        <v>95000</v>
      </c>
      <c r="AF5" s="6">
        <f t="shared" si="5"/>
        <v>59809.5</v>
      </c>
      <c r="AG5" s="7">
        <f t="shared" si="3"/>
        <v>51809.5</v>
      </c>
      <c r="AH5" s="8">
        <f t="shared" si="4"/>
        <v>111619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Y6" s="1">
        <v>750</v>
      </c>
      <c r="Z6" s="1">
        <v>4000</v>
      </c>
      <c r="AA6" s="1">
        <f t="shared" si="0"/>
        <v>128750</v>
      </c>
      <c r="AB6" s="5">
        <f t="shared" si="1"/>
        <v>64375</v>
      </c>
      <c r="AC6" s="1">
        <v>10000</v>
      </c>
      <c r="AD6" s="5">
        <f t="shared" si="2"/>
        <v>20625</v>
      </c>
      <c r="AE6" s="1">
        <v>95000</v>
      </c>
      <c r="AF6" s="6">
        <f t="shared" si="5"/>
        <v>56875</v>
      </c>
      <c r="AG6" s="7">
        <f t="shared" si="3"/>
        <v>48875</v>
      </c>
      <c r="AH6" s="8">
        <f t="shared" si="4"/>
        <v>105750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750</v>
      </c>
      <c r="Z7" s="1">
        <v>4000</v>
      </c>
      <c r="AA7" s="1">
        <f t="shared" si="0"/>
        <v>158119</v>
      </c>
      <c r="AB7" s="5">
        <f t="shared" si="1"/>
        <v>79059.5</v>
      </c>
      <c r="AC7" s="1">
        <v>10000</v>
      </c>
      <c r="AD7" s="5">
        <f t="shared" si="2"/>
        <v>5940.5</v>
      </c>
      <c r="AE7" s="1">
        <v>95000</v>
      </c>
      <c r="AF7" s="6">
        <f t="shared" si="5"/>
        <v>71559.5</v>
      </c>
      <c r="AG7" s="7">
        <f t="shared" si="3"/>
        <v>63559.5</v>
      </c>
      <c r="AH7" s="8">
        <f t="shared" si="4"/>
        <v>135119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Y8" s="1">
        <v>750</v>
      </c>
      <c r="Z8" s="1">
        <v>4000</v>
      </c>
      <c r="AA8" s="1">
        <f t="shared" si="0"/>
        <v>144050</v>
      </c>
      <c r="AB8" s="5">
        <f t="shared" si="1"/>
        <v>72025</v>
      </c>
      <c r="AC8" s="1">
        <v>10000</v>
      </c>
      <c r="AD8" s="5">
        <f t="shared" si="2"/>
        <v>12975</v>
      </c>
      <c r="AE8" s="1">
        <v>95000</v>
      </c>
      <c r="AF8" s="6">
        <f t="shared" si="5"/>
        <v>64525</v>
      </c>
      <c r="AG8" s="7">
        <f t="shared" si="3"/>
        <v>56525</v>
      </c>
      <c r="AH8" s="8">
        <f t="shared" si="4"/>
        <v>121050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Y9" s="1">
        <v>750</v>
      </c>
      <c r="Z9" s="1">
        <v>4000</v>
      </c>
      <c r="AA9" s="1">
        <f t="shared" si="0"/>
        <v>134919</v>
      </c>
      <c r="AB9" s="5">
        <f t="shared" si="1"/>
        <v>67459.5</v>
      </c>
      <c r="AC9" s="1">
        <v>10000</v>
      </c>
      <c r="AD9" s="5">
        <f t="shared" si="2"/>
        <v>17540.5</v>
      </c>
      <c r="AE9" s="1">
        <v>95000</v>
      </c>
      <c r="AF9" s="6">
        <f t="shared" si="5"/>
        <v>59959.5</v>
      </c>
      <c r="AG9" s="7">
        <f t="shared" si="3"/>
        <v>51959.5</v>
      </c>
      <c r="AH9" s="8">
        <f t="shared" si="4"/>
        <v>111919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750</v>
      </c>
      <c r="Z10" s="1">
        <v>4000</v>
      </c>
      <c r="AA10" s="1">
        <f t="shared" si="0"/>
        <v>149450</v>
      </c>
      <c r="AB10" s="5">
        <f t="shared" si="1"/>
        <v>74725</v>
      </c>
      <c r="AC10" s="1">
        <v>10000</v>
      </c>
      <c r="AD10" s="5">
        <f t="shared" si="2"/>
        <v>10275</v>
      </c>
      <c r="AE10" s="1">
        <v>95000</v>
      </c>
      <c r="AF10" s="6">
        <f t="shared" si="5"/>
        <v>67225</v>
      </c>
      <c r="AG10" s="7">
        <f t="shared" si="3"/>
        <v>59225</v>
      </c>
      <c r="AH10" s="8">
        <f t="shared" si="4"/>
        <v>126450</v>
      </c>
    </row>
    <row r="12" spans="1:34" ht="15" customHeight="1" x14ac:dyDescent="0.25">
      <c r="A12" s="36" t="s">
        <v>43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25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 t="str">
        <f>IF(Mayo!L33&gt;0,Mayo!L33,"")</f>
        <v/>
      </c>
      <c r="M14" s="1">
        <f>IF(Mayo!M33&gt;0,Mayo!M33,"")</f>
        <v>810</v>
      </c>
      <c r="N14" s="1">
        <f>IF(Mayo!N33&gt;0,Mayo!N33,"")</f>
        <v>6239.9600000000009</v>
      </c>
      <c r="O14" s="1" t="str">
        <f>IF(Mayo!O33&gt;0,Mayo!O33,"")</f>
        <v/>
      </c>
      <c r="P14" s="1" t="str">
        <f>IF(Mayo!P33&gt;0,Mayo!P33,"")</f>
        <v/>
      </c>
      <c r="Q14" s="1">
        <f>IF(Mayo!Q33&gt;0,Mayo!Q33,"")</f>
        <v>7418.32</v>
      </c>
      <c r="R14" s="1" t="str">
        <f>IF(Mayo!R33&gt;0,Mayo!R33,"")</f>
        <v/>
      </c>
      <c r="S14" s="1">
        <f>IF(Mayo!S33&gt;0,Mayo!S33,"")</f>
        <v>3261.5</v>
      </c>
      <c r="T14" s="1" t="str">
        <f>IF(Mayo!T33&gt;0,Mayo!T33,"")</f>
        <v/>
      </c>
      <c r="U14" s="1" t="str">
        <f>IF(Mayo!U33&gt;0,Mayo!U33,"")</f>
        <v/>
      </c>
      <c r="V14" s="1" t="str">
        <f>IF(Mayo!V33&gt;0,Mayo!V33,"")</f>
        <v/>
      </c>
      <c r="W14" s="1">
        <f>IF(Mayo!W33&gt;0,Mayo!W33,"")</f>
        <v>494.09</v>
      </c>
      <c r="X14" s="1" t="str">
        <f>IF(Mayo!X33&gt;0,Mayo!X33,"")</f>
        <v/>
      </c>
      <c r="Y14" s="1" t="str">
        <f>IF(Mayo!Y33&gt;0,Mayo!Y33,"")</f>
        <v/>
      </c>
      <c r="Z14" s="1">
        <f>IF(Mayo!Z33&gt;0,Mayo!Z33,"")</f>
        <v>3142.62</v>
      </c>
      <c r="AA14" s="1">
        <f>IF(Mayo!AA33&gt;0,Mayo!AA33,"")</f>
        <v>98641.09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7" t="s">
        <v>46</v>
      </c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25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 t="str">
        <f>IF(ISNUMBER(Mayo!B33),B3-Mayo!B33,"")</f>
        <v/>
      </c>
      <c r="C25" s="1" t="str">
        <f>IF(ISNUMBER(Mayo!C33),C3-Mayo!C33,"")</f>
        <v/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 t="str">
        <f>IF(ISNUMBER(Mayo!L33),L3-Mayo!L33,"")</f>
        <v/>
      </c>
      <c r="M25" s="1">
        <f>IF(ISNUMBER(Mayo!M33),M3-Mayo!M33,"")</f>
        <v>40</v>
      </c>
      <c r="N25" s="1">
        <f>IF(ISNUMBER(Mayo!N33),N3-Mayo!N33,"")</f>
        <v>3760.0399999999991</v>
      </c>
      <c r="O25" s="1" t="str">
        <f>IF(ISNUMBER(Mayo!O33),O3-Mayo!O33,"")</f>
        <v/>
      </c>
      <c r="P25" s="1" t="str">
        <f>IF(ISNUMBER(Mayo!P33),P3-Mayo!P33,"")</f>
        <v/>
      </c>
      <c r="Q25" s="1">
        <f>IF(ISNUMBER(Mayo!Q33),Q3-Mayo!Q33,"")</f>
        <v>12581.68</v>
      </c>
      <c r="R25" s="1" t="str">
        <f>IF(ISNUMBER(Mayo!R33),R3-Mayo!R33,"")</f>
        <v/>
      </c>
      <c r="S25" s="1">
        <f>IF(ISNUMBER(Mayo!S33),S3-Mayo!S33,"")</f>
        <v>1738.5</v>
      </c>
      <c r="T25" s="1" t="str">
        <f>IF(ISNUMBER(Mayo!T33),T3-Mayo!T33,"")</f>
        <v/>
      </c>
      <c r="U25" s="1" t="str">
        <f>IF(ISNUMBER(Mayo!U33),U3-Mayo!U33,"")</f>
        <v/>
      </c>
      <c r="V25" s="1" t="str">
        <f>IF(ISNUMBER(Mayo!V33),V3-Mayo!V33,"")</f>
        <v/>
      </c>
      <c r="W25" s="1">
        <f>IF(ISNUMBER(Mayo!W33),W3-Mayo!W33,"")</f>
        <v>1005.9100000000001</v>
      </c>
      <c r="X25" s="1" t="str">
        <f>IF(ISNUMBER(Mayo!X33),X3-Mayo!X33,"")</f>
        <v/>
      </c>
      <c r="Y25" s="1" t="str">
        <f>IF(ISNUMBER(Mayo!Y33),Y3-Mayo!Y33,"")</f>
        <v/>
      </c>
      <c r="Z25" s="1">
        <f>IF(ISNUMBER(Mayo!Z33),Z3-Mayo!Z33,"")</f>
        <v>857.38000000000011</v>
      </c>
      <c r="AA25" s="10">
        <f t="shared" ref="AA25:AA33" si="6">SUMIF(B25:Z25,"&lt;&gt;"&amp;"")</f>
        <v>21508.909999999996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0</v>
      </c>
      <c r="M33" s="10">
        <f t="shared" si="7"/>
        <v>40</v>
      </c>
      <c r="N33" s="10">
        <f t="shared" si="7"/>
        <v>3760.0399999999991</v>
      </c>
      <c r="O33" s="10">
        <f t="shared" si="7"/>
        <v>0</v>
      </c>
      <c r="P33" s="10">
        <f t="shared" si="7"/>
        <v>0</v>
      </c>
      <c r="Q33" s="10">
        <f t="shared" si="7"/>
        <v>12581.68</v>
      </c>
      <c r="R33" s="10">
        <f t="shared" si="7"/>
        <v>0</v>
      </c>
      <c r="S33" s="10">
        <f t="shared" si="7"/>
        <v>1738.5</v>
      </c>
      <c r="T33" s="10">
        <f t="shared" si="7"/>
        <v>0</v>
      </c>
      <c r="U33" s="10">
        <f t="shared" si="7"/>
        <v>0</v>
      </c>
      <c r="V33" s="10">
        <f t="shared" si="7"/>
        <v>0</v>
      </c>
      <c r="W33" s="10">
        <f t="shared" si="7"/>
        <v>1005.9100000000001</v>
      </c>
      <c r="X33" s="10">
        <f t="shared" si="7"/>
        <v>0</v>
      </c>
      <c r="Y33" s="10">
        <f t="shared" si="7"/>
        <v>0</v>
      </c>
      <c r="Z33" s="10">
        <f t="shared" si="7"/>
        <v>857.38000000000011</v>
      </c>
      <c r="AA33" s="10">
        <f t="shared" si="6"/>
        <v>21508.909999999996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zoomScaleNormal="100" workbookViewId="0">
      <selection activeCell="E3" sqref="E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5.1406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14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 t="str">
        <f t="shared" si="1"/>
        <v/>
      </c>
      <c r="M33" s="10">
        <f t="shared" si="1"/>
        <v>810</v>
      </c>
      <c r="N33" s="10">
        <f t="shared" si="1"/>
        <v>6239.9600000000009</v>
      </c>
      <c r="O33" s="10" t="str">
        <f t="shared" si="1"/>
        <v/>
      </c>
      <c r="P33" s="10" t="str">
        <f t="shared" si="1"/>
        <v/>
      </c>
      <c r="Q33" s="10">
        <f t="shared" si="1"/>
        <v>7418.32</v>
      </c>
      <c r="R33" s="10" t="str">
        <f t="shared" si="1"/>
        <v/>
      </c>
      <c r="S33" s="10">
        <f t="shared" si="1"/>
        <v>3261.5</v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>
        <f t="shared" si="1"/>
        <v>494.09</v>
      </c>
      <c r="X33" s="10" t="str">
        <f t="shared" si="1"/>
        <v/>
      </c>
      <c r="Y33" s="10" t="str">
        <f t="shared" si="1"/>
        <v/>
      </c>
      <c r="Z33" s="10">
        <f t="shared" si="1"/>
        <v>3142.62</v>
      </c>
      <c r="AA33" s="10">
        <f t="shared" si="1"/>
        <v>98641.09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2026-05-12T10:42:52Z</dcterms:modified>
  <dc:language>en-US</dc:language>
</cp:coreProperties>
</file>