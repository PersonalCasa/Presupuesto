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S32" i="6"/>
  <c r="S29" i="1" s="1"/>
  <c r="R32" i="6"/>
  <c r="R18" i="1" s="1"/>
  <c r="Q32" i="6"/>
  <c r="Q18" i="1" s="1"/>
  <c r="P32" i="6"/>
  <c r="P29" i="1" s="1"/>
  <c r="O32" i="6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T29" i="1"/>
  <c r="O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T18" i="1"/>
  <c r="O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S18" i="1" l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<sst xmlns="http://schemas.openxmlformats.org/spreadsheetml/2006/main" count="413" uniqueCount="91">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</sst>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zoomScaleNormal="100" workbookViewId="0">
      <selection activeCell="E18" sqref="E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27000</v>
      </c>
      <c r="G7" s="1">
        <v>1100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174955.32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64477.66</v>
      </c>
      <c r="AI7" s="9">
        <f t="shared" si="4"/>
        <v>71771.34</v>
      </c>
      <c r="AJ7" s="10">
        <f t="shared" si="5"/>
        <v>136249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27000</v>
      </c>
      <c r="G8" s="1">
        <v>1100</v>
      </c>
      <c r="H8" s="1">
        <v>3300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19000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159460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72230</v>
      </c>
      <c r="AI8" s="9">
        <f t="shared" si="4"/>
        <v>63980</v>
      </c>
      <c r="AJ8" s="10">
        <f t="shared" si="5"/>
        <v>136210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27000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19000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138879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61939.5</v>
      </c>
      <c r="AI9" s="9">
        <f t="shared" si="4"/>
        <v>53639.5</v>
      </c>
      <c r="AJ9" s="10">
        <f t="shared" si="5"/>
        <v>115579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19000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152510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68755</v>
      </c>
      <c r="AI10" s="9">
        <f t="shared" si="4"/>
        <v>60455</v>
      </c>
      <c r="AJ10" s="10">
        <f t="shared" si="5"/>
        <v>129210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491.81</v>
      </c>
      <c r="P18" s="1">
        <f>IF(Setiembre!P32&gt;0,Setiembre!P32,"")</f>
        <v>1800</v>
      </c>
      <c r="Q18" s="1">
        <f>IF(Setiembre!Q32&gt;0,Setiembre!Q32,"")</f>
        <v>2508.1999999999998</v>
      </c>
      <c r="R18" s="1">
        <f>IF(Setiembre!R32&gt;0,Setiembre!R32,"")</f>
        <v>17930.939999999999</v>
      </c>
      <c r="S18" s="1">
        <f>IF(Setiembre!S32&gt;0,Setiembre!S32,"")</f>
        <v>911.25</v>
      </c>
      <c r="T18" s="1" t="str">
        <f>IF(Setiembre!T32&gt;0,Setiembre!T32,"")</f>
        <v/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1947.54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2297.0300000000002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208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7508.19</v>
      </c>
      <c r="P29" s="1">
        <f>IF(ISNUMBER(Setiembre!P32),P7-Setiembre!P32,"")</f>
        <v>0</v>
      </c>
      <c r="Q29" s="1">
        <f>IF(ISNUMBER(Setiembre!Q32),Q7-Setiembre!Q32,"")</f>
        <v>-8.1999999999998181</v>
      </c>
      <c r="R29" s="1">
        <f>IF(ISNUMBER(Setiembre!R32),R7-Setiembre!R32,"")</f>
        <v>1069.0600000000013</v>
      </c>
      <c r="S29" s="1">
        <f>IF(ISNUMBER(Setiembre!S32),S7-Setiembre!S32,"")</f>
        <v>1088.75</v>
      </c>
      <c r="T29" s="1" t="str">
        <f>IF(ISNUMBER(Setiembre!T32),T7-Setiembre!T32,"")</f>
        <v/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1052.46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2702.97</v>
      </c>
      <c r="AC29" s="12">
        <f t="shared" si="7"/>
        <v>14291.770000000002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-1678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13614.39</v>
      </c>
      <c r="P33" s="12">
        <f t="shared" si="8"/>
        <v>1800</v>
      </c>
      <c r="Q33" s="12">
        <f t="shared" si="8"/>
        <v>42.620000000000346</v>
      </c>
      <c r="R33" s="12">
        <f t="shared" si="8"/>
        <v>5386.93</v>
      </c>
      <c r="S33" s="12">
        <f t="shared" si="8"/>
        <v>3024.4300000000003</v>
      </c>
      <c r="T33" s="12">
        <f t="shared" si="8"/>
        <v>1227.0300000000007</v>
      </c>
      <c r="U33" s="12">
        <f t="shared" si="8"/>
        <v>619.26000000000022</v>
      </c>
      <c r="V33" s="12">
        <f t="shared" si="8"/>
        <v>0</v>
      </c>
      <c r="W33" s="12">
        <f t="shared" si="8"/>
        <v>2783.6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-15235.9</v>
      </c>
      <c r="AC33" s="12">
        <f t="shared" si="7"/>
        <v>2806.8299999999963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H17" zoomScaleNormal="100" workbookViewId="0">
      <selection activeCell="R24" sqref="R2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491.81</v>
      </c>
      <c r="P32" s="12">
        <f t="shared" si="1"/>
        <v>1800</v>
      </c>
      <c r="Q32" s="12">
        <f t="shared" si="1"/>
        <v>2508.1999999999998</v>
      </c>
      <c r="R32" s="12">
        <f t="shared" si="1"/>
        <v>17930.939999999999</v>
      </c>
      <c r="S32" s="12">
        <f t="shared" si="1"/>
        <v>911.25</v>
      </c>
      <c r="T32" s="12" t="str">
        <f t="shared" si="1"/>
        <v/>
      </c>
      <c r="U32" s="12">
        <f t="shared" si="1"/>
        <v>13110.49</v>
      </c>
      <c r="V32" s="12" t="str">
        <f t="shared" si="1"/>
        <v/>
      </c>
      <c r="W32" s="12">
        <f t="shared" si="1"/>
        <v>1947.54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2297.0300000000002</v>
      </c>
      <c r="AB32" s="38" t="str">
        <f t="shared" si="1"/>
        <v/>
      </c>
      <c r="AC32" s="12">
        <f t="shared" si="1"/>
        <v>151063.55000000002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2026-09-23T19:19:08Z</dcterms:modified>
  <dc:language>en-US</dc:language>
</cp:coreProperties>
</file>