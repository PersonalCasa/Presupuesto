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 activeTab="6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15" i="7" l="1"/>
  <c r="R12" i="7" l="1"/>
  <c r="AA11" i="7"/>
  <c r="R11" i="7"/>
  <c r="S11" i="7"/>
  <c r="R9" i="7"/>
  <c r="R10" i="7" l="1"/>
  <c r="G10" i="7"/>
  <c r="B30" i="1"/>
  <c r="B33" i="7"/>
  <c r="B9" i="7"/>
  <c r="L10" i="7"/>
  <c r="H7" i="7" l="1"/>
  <c r="I7" i="7"/>
  <c r="R7" i="7"/>
  <c r="R5" i="7"/>
  <c r="R8" i="7"/>
  <c r="R4" i="7" l="1"/>
  <c r="O4" i="7"/>
  <c r="T4" i="7"/>
  <c r="R3" i="7" l="1"/>
  <c r="R2" i="7"/>
  <c r="R31" i="6" l="1"/>
  <c r="AA30" i="6" l="1"/>
  <c r="S30" i="6"/>
  <c r="R29" i="6" l="1"/>
  <c r="T26" i="6" l="1"/>
  <c r="R26" i="6"/>
  <c r="R25" i="6" l="1"/>
  <c r="R23" i="6" l="1"/>
  <c r="R20" i="6"/>
  <c r="M19" i="6" l="1"/>
  <c r="R19" i="6"/>
  <c r="S18" i="6"/>
  <c r="Q18" i="6"/>
  <c r="AA15" i="6" l="1"/>
  <c r="R15" i="6"/>
  <c r="O14" i="6" l="1"/>
  <c r="R14" i="6"/>
  <c r="R12" i="6"/>
  <c r="R11" i="6" l="1"/>
  <c r="R10" i="6" l="1"/>
  <c r="U9" i="6"/>
  <c r="L7" i="6" l="1"/>
  <c r="AA7" i="6"/>
  <c r="W7" i="6"/>
  <c r="R7" i="6"/>
  <c r="R6" i="6"/>
  <c r="R5" i="6"/>
  <c r="R4" i="6" l="1"/>
  <c r="I4" i="6" l="1"/>
  <c r="H4" i="6"/>
  <c r="R3" i="6"/>
  <c r="R2" i="6" l="1"/>
  <c r="O31" i="5" l="1"/>
  <c r="T31" i="5"/>
  <c r="Y32" i="5"/>
  <c r="AA28" i="5" l="1"/>
  <c r="R24" i="5" l="1"/>
  <c r="R27" i="5"/>
  <c r="O19" i="5" l="1"/>
  <c r="T21" i="5"/>
  <c r="R21" i="5"/>
  <c r="Y21" i="5"/>
  <c r="AA20" i="5"/>
  <c r="R20" i="5"/>
  <c r="S20" i="5"/>
  <c r="AA19" i="5"/>
  <c r="Y16" i="5" l="1"/>
  <c r="R16" i="5"/>
  <c r="R17" i="5"/>
  <c r="AA17" i="5"/>
  <c r="R15" i="5" l="1"/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AA19" i="1" s="1"/>
  <c r="Z33" i="7"/>
  <c r="Y33" i="7"/>
  <c r="X33" i="7"/>
  <c r="W33" i="7"/>
  <c r="V33" i="7"/>
  <c r="U33" i="7"/>
  <c r="U30" i="1" s="1"/>
  <c r="T33" i="7"/>
  <c r="T19" i="1" s="1"/>
  <c r="S33" i="7"/>
  <c r="S19" i="1" s="1"/>
  <c r="R33" i="7"/>
  <c r="R19" i="1" s="1"/>
  <c r="Q33" i="7"/>
  <c r="P33" i="7"/>
  <c r="P19" i="1" s="1"/>
  <c r="O33" i="7"/>
  <c r="N33" i="7"/>
  <c r="N30" i="1" s="1"/>
  <c r="M33" i="7"/>
  <c r="L33" i="7"/>
  <c r="L30" i="1" s="1"/>
  <c r="K33" i="7"/>
  <c r="K30" i="1" s="1"/>
  <c r="J33" i="7"/>
  <c r="J30" i="1" s="1"/>
  <c r="I33" i="7"/>
  <c r="H33" i="7"/>
  <c r="G33" i="7"/>
  <c r="G19" i="1" s="1"/>
  <c r="F33" i="7"/>
  <c r="F19" i="1" s="1"/>
  <c r="E33" i="7"/>
  <c r="E30" i="1" s="1"/>
  <c r="D33" i="7"/>
  <c r="D30" i="1" s="1"/>
  <c r="C33" i="7"/>
  <c r="C30" i="1" s="1"/>
  <c r="B19" i="1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B32" i="6"/>
  <c r="AA32" i="6"/>
  <c r="AA18" i="1" s="1"/>
  <c r="Z32" i="6"/>
  <c r="Y32" i="6"/>
  <c r="X32" i="6"/>
  <c r="X29" i="1" s="1"/>
  <c r="W32" i="6"/>
  <c r="W18" i="1" s="1"/>
  <c r="V32" i="6"/>
  <c r="U32" i="6"/>
  <c r="U29" i="1" s="1"/>
  <c r="T32" i="6"/>
  <c r="T29" i="1" s="1"/>
  <c r="S32" i="6"/>
  <c r="S29" i="1" s="1"/>
  <c r="R32" i="6"/>
  <c r="R18" i="1" s="1"/>
  <c r="Q32" i="6"/>
  <c r="Q18" i="1" s="1"/>
  <c r="P32" i="6"/>
  <c r="P29" i="1" s="1"/>
  <c r="O32" i="6"/>
  <c r="O29" i="1" s="1"/>
  <c r="N32" i="6"/>
  <c r="M32" i="6"/>
  <c r="M18" i="1" s="1"/>
  <c r="L32" i="6"/>
  <c r="L29" i="1" s="1"/>
  <c r="K32" i="6"/>
  <c r="K18" i="1" s="1"/>
  <c r="J32" i="6"/>
  <c r="J29" i="1" s="1"/>
  <c r="I32" i="6"/>
  <c r="H32" i="6"/>
  <c r="G32" i="6"/>
  <c r="F32" i="6"/>
  <c r="F29" i="1" s="1"/>
  <c r="E32" i="6"/>
  <c r="E29" i="1" s="1"/>
  <c r="D32" i="6"/>
  <c r="D18" i="1" s="1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B33" i="5"/>
  <c r="AA33" i="5"/>
  <c r="AA28" i="1" s="1"/>
  <c r="Z33" i="5"/>
  <c r="Z28" i="1" s="1"/>
  <c r="Y33" i="5"/>
  <c r="Y28" i="1" s="1"/>
  <c r="X33" i="5"/>
  <c r="X17" i="1" s="1"/>
  <c r="W33" i="5"/>
  <c r="W28" i="1" s="1"/>
  <c r="V33" i="5"/>
  <c r="V28" i="1" s="1"/>
  <c r="U33" i="5"/>
  <c r="U28" i="1" s="1"/>
  <c r="T33" i="5"/>
  <c r="T28" i="1" s="1"/>
  <c r="S33" i="5"/>
  <c r="S28" i="1" s="1"/>
  <c r="R33" i="5"/>
  <c r="R28" i="1" s="1"/>
  <c r="Q33" i="5"/>
  <c r="P33" i="5"/>
  <c r="P17" i="1" s="1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Q30" i="1"/>
  <c r="O30" i="1"/>
  <c r="M30" i="1"/>
  <c r="I30" i="1"/>
  <c r="H30" i="1"/>
  <c r="G30" i="1"/>
  <c r="Z29" i="1"/>
  <c r="Y29" i="1"/>
  <c r="V29" i="1"/>
  <c r="N29" i="1"/>
  <c r="K29" i="1"/>
  <c r="I29" i="1"/>
  <c r="H29" i="1"/>
  <c r="G29" i="1"/>
  <c r="C29" i="1"/>
  <c r="B29" i="1"/>
  <c r="Q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Z19" i="1"/>
  <c r="Y19" i="1"/>
  <c r="X19" i="1"/>
  <c r="W19" i="1"/>
  <c r="V19" i="1"/>
  <c r="Q19" i="1"/>
  <c r="O19" i="1"/>
  <c r="N19" i="1"/>
  <c r="M19" i="1"/>
  <c r="J19" i="1"/>
  <c r="I19" i="1"/>
  <c r="H19" i="1"/>
  <c r="D19" i="1"/>
  <c r="Z18" i="1"/>
  <c r="Y18" i="1"/>
  <c r="V18" i="1"/>
  <c r="N18" i="1"/>
  <c r="L18" i="1"/>
  <c r="J18" i="1"/>
  <c r="I18" i="1"/>
  <c r="H18" i="1"/>
  <c r="G18" i="1"/>
  <c r="C18" i="1"/>
  <c r="B18" i="1"/>
  <c r="Z17" i="1"/>
  <c r="U17" i="1"/>
  <c r="Q17" i="1"/>
  <c r="M17" i="1"/>
  <c r="K17" i="1"/>
  <c r="J17" i="1"/>
  <c r="I17" i="1"/>
  <c r="H17" i="1"/>
  <c r="G17" i="1"/>
  <c r="E17" i="1"/>
  <c r="C17" i="1"/>
  <c r="B17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U19" i="1" l="1"/>
  <c r="E19" i="1"/>
  <c r="C19" i="1"/>
  <c r="P30" i="1"/>
  <c r="S30" i="1"/>
  <c r="AA30" i="1"/>
  <c r="L19" i="1"/>
  <c r="K19" i="1"/>
  <c r="T30" i="1"/>
  <c r="R30" i="1"/>
  <c r="AC33" i="7"/>
  <c r="F30" i="1"/>
  <c r="F33" i="1" s="1"/>
  <c r="T18" i="1"/>
  <c r="O18" i="1"/>
  <c r="S18" i="1"/>
  <c r="M29" i="1"/>
  <c r="Q29" i="1"/>
  <c r="X18" i="1"/>
  <c r="D29" i="1"/>
  <c r="U18" i="1"/>
  <c r="W29" i="1"/>
  <c r="W33" i="1" s="1"/>
  <c r="AA29" i="1"/>
  <c r="P18" i="1"/>
  <c r="E18" i="1"/>
  <c r="F18" i="1"/>
  <c r="AC32" i="6"/>
  <c r="R29" i="1"/>
  <c r="Y17" i="1"/>
  <c r="W17" i="1"/>
  <c r="S17" i="1"/>
  <c r="P28" i="1"/>
  <c r="D17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C30" i="1" l="1"/>
  <c r="AC29" i="1"/>
  <c r="O33" i="1"/>
  <c r="AJ6" i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<sst xmlns="http://schemas.openxmlformats.org/spreadsheetml/2006/main" count="416" uniqueCount="94">
  <si>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</si>
  <si>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</si>
  <si>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</si>
  <si>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</si>
  <si>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</si>
  <si>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</si>
  <si>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</si>
  <si>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</si>
  <si>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</si>
  <si>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</si>
  <si>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</si>
  <si>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</si>
  <si>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</si>
  <si>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</si>
  <si>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</si>
  <si>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</si>
  <si>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</si>
  <si>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</si>
  <si>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</si>
  <si>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</si>
  <si>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</si>
  <si>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</si>
  <si>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</si>
  <si>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</si>
  <si>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</si>
  <si>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</si>
  <si>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</si>
  <si>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</si>
  <si>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</si>
  <si>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</si>
  <si>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</si>
  <si>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</si>
  <si>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</si>
  <si>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</si>
  <si>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</si>
  <si>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</si>
  <si>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</si>
  <si>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</si>
  <si>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</si>
  <si>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</si>
  <si>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</si>
  <si>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</si>
  <si>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</si>
  <si>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</si>
  <si>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</si>
  <si>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</si>
  <si>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</si>
  <si>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</si>
  <si>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</si>
  <si>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</si>
  <si>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</si>
  <si>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</si>
  <si>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</si>
  <si>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</si>
  <si>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</si>
  <si>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</si>
  <si>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</si>
  <si>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</si>
  <si>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</si>
  <si>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</si>
  <si>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</si>
  <si>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</si>
  <si>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</si>
  <si>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</si>
  <si>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</si>
  <si>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</si>
  <si>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</si>
  <si>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</si>
  <si>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</si>
  <si>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</si>
  <si>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</si>
  <si>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</si>
  <si>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</si>
  <si>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</si>
  <si>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</si>
  <si>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</si>
  <si>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</si>
  <si>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</si>
  <si>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</si>
  <si>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</si>
  <si>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</si>
  <si>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</si>
  <si>
    <t>resistencia calefon</t>
  </si>
  <si>
    <t>Cena Berni</t>
  </si>
  <si>
    <t>3 comepa</t>
  </si>
  <si>
    <t>envio zartenes</t>
  </si>
  <si>
    <t>regalo lolo</t>
  </si>
  <si>
    <t>farmacia</t>
  </si>
  <si>
    <t>disfraces roci</t>
  </si>
  <si>
    <t>circo</t>
  </si>
  <si>
    <t>gas y calefacción</t>
  </si>
  <si>
    <t>Arreglo porton y luz</t>
  </si>
  <si>
    <t>llave</t>
  </si>
  <si>
    <t>libros roci y auriculares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</si>
</sst>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21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topLeftCell="K2" zoomScaleNormal="100" workbookViewId="0">
      <selection activeCell="P18" sqref="P18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4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25">
      <c r="A7" s="1" t="s">
        <v>41</v>
      </c>
      <c r="C7" s="1">
        <v>4369</v>
      </c>
      <c r="D7" s="1">
        <v>15706.32</v>
      </c>
      <c r="E7" s="1">
        <v>500</v>
      </c>
      <c r="F7" s="1">
        <v>27500</v>
      </c>
      <c r="H7" s="1">
        <v>3300</v>
      </c>
      <c r="I7" s="1">
        <v>3750</v>
      </c>
      <c r="J7" s="1">
        <v>1000</v>
      </c>
      <c r="K7" s="1">
        <v>23200</v>
      </c>
      <c r="L7" s="1">
        <v>7505</v>
      </c>
      <c r="M7" s="1">
        <v>23000</v>
      </c>
      <c r="N7" s="1">
        <v>810</v>
      </c>
      <c r="O7" s="1">
        <v>8000</v>
      </c>
      <c r="P7" s="1">
        <v>1800</v>
      </c>
      <c r="Q7" s="1">
        <v>2500</v>
      </c>
      <c r="R7" s="1">
        <v>19000</v>
      </c>
      <c r="S7" s="1">
        <v>2000</v>
      </c>
      <c r="T7" s="1">
        <v>5000</v>
      </c>
      <c r="U7" s="1">
        <v>13115</v>
      </c>
      <c r="V7" s="1">
        <v>1500</v>
      </c>
      <c r="W7" s="1">
        <v>3000</v>
      </c>
      <c r="X7" s="1">
        <v>800</v>
      </c>
      <c r="Y7" s="1">
        <v>2000</v>
      </c>
      <c r="AA7" s="1">
        <v>5000</v>
      </c>
      <c r="AB7" s="6"/>
      <c r="AC7" s="1">
        <f t="shared" si="0"/>
        <v>174355.32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64177.66</v>
      </c>
      <c r="AI7" s="9">
        <f t="shared" si="4"/>
        <v>71471.34</v>
      </c>
      <c r="AJ7" s="10">
        <f t="shared" si="5"/>
        <v>135649</v>
      </c>
    </row>
    <row r="8" spans="1:36" ht="15" customHeight="1" x14ac:dyDescent="0.25">
      <c r="A8" s="1" t="s">
        <v>42</v>
      </c>
      <c r="B8" s="1">
        <v>27138.14</v>
      </c>
      <c r="D8" s="1">
        <v>15750</v>
      </c>
      <c r="E8" s="1">
        <v>0</v>
      </c>
      <c r="F8" s="1">
        <v>27500</v>
      </c>
      <c r="G8" s="1">
        <v>1100</v>
      </c>
      <c r="H8" s="1">
        <v>3300</v>
      </c>
      <c r="I8" s="1">
        <v>3000</v>
      </c>
      <c r="J8" s="1">
        <v>700</v>
      </c>
      <c r="K8" s="1">
        <v>26738</v>
      </c>
      <c r="L8" s="1">
        <v>18000</v>
      </c>
      <c r="M8" s="1">
        <v>16700</v>
      </c>
      <c r="N8" s="1">
        <v>810</v>
      </c>
      <c r="O8" s="1">
        <v>4400</v>
      </c>
      <c r="P8" s="1">
        <v>3600</v>
      </c>
      <c r="Q8" s="1">
        <v>2500</v>
      </c>
      <c r="R8" s="1">
        <v>20000</v>
      </c>
      <c r="S8" s="1">
        <v>2000</v>
      </c>
      <c r="T8" s="1">
        <v>5000</v>
      </c>
      <c r="W8" s="1">
        <v>3000</v>
      </c>
      <c r="X8" s="1">
        <v>800</v>
      </c>
      <c r="Y8" s="1">
        <v>2000</v>
      </c>
      <c r="AA8" s="1">
        <v>5000</v>
      </c>
      <c r="AB8" s="6"/>
      <c r="AC8" s="1">
        <f>SUM(B8:AB8)</f>
        <v>189036.14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77818.070000000007</v>
      </c>
      <c r="AI8" s="9">
        <f t="shared" si="4"/>
        <v>78768.070000000007</v>
      </c>
      <c r="AJ8" s="10">
        <f t="shared" si="5"/>
        <v>156586.14000000001</v>
      </c>
    </row>
    <row r="9" spans="1:36" ht="15" customHeight="1" x14ac:dyDescent="0.25">
      <c r="A9" s="1" t="s">
        <v>43</v>
      </c>
      <c r="C9" s="1">
        <v>4369</v>
      </c>
      <c r="D9" s="1">
        <v>15800</v>
      </c>
      <c r="E9" s="1">
        <v>0</v>
      </c>
      <c r="F9" s="1">
        <v>27500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20000</v>
      </c>
      <c r="S9" s="1">
        <v>2000</v>
      </c>
      <c r="T9" s="1">
        <v>5000</v>
      </c>
      <c r="W9" s="1">
        <v>3000</v>
      </c>
      <c r="X9" s="1">
        <v>800</v>
      </c>
      <c r="Y9" s="1">
        <v>2000</v>
      </c>
      <c r="AA9" s="1">
        <v>5000</v>
      </c>
      <c r="AB9" s="6"/>
      <c r="AC9" s="1">
        <f t="shared" si="0"/>
        <v>140379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62689.5</v>
      </c>
      <c r="AI9" s="9">
        <f t="shared" si="4"/>
        <v>54389.5</v>
      </c>
      <c r="AJ9" s="10">
        <f t="shared" si="5"/>
        <v>117079</v>
      </c>
    </row>
    <row r="10" spans="1:36" ht="15" customHeight="1" x14ac:dyDescent="0.25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20000</v>
      </c>
      <c r="S10" s="1">
        <v>2000</v>
      </c>
      <c r="T10" s="1">
        <v>5000</v>
      </c>
      <c r="W10" s="1">
        <v>3000</v>
      </c>
      <c r="X10" s="1">
        <v>800</v>
      </c>
      <c r="Y10" s="1">
        <v>2000</v>
      </c>
      <c r="AA10" s="1">
        <v>5000</v>
      </c>
      <c r="AB10" s="6"/>
      <c r="AC10" s="1">
        <f t="shared" si="0"/>
        <v>153510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69255</v>
      </c>
      <c r="AI10" s="9">
        <f t="shared" si="4"/>
        <v>60955</v>
      </c>
      <c r="AJ10" s="10">
        <f t="shared" si="5"/>
        <v>130210</v>
      </c>
    </row>
    <row r="12" spans="1:36" ht="15" customHeight="1" x14ac:dyDescent="0.25">
      <c r="A12" s="45" t="s">
        <v>45</v>
      </c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13308.64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16436.79</v>
      </c>
      <c r="S17" s="1">
        <f>IF(Agosto!S33&gt;0,Agosto!S33,"")</f>
        <v>2458.12</v>
      </c>
      <c r="T17" s="1">
        <f>IF(Agosto!T33&gt;0,Agosto!T33,"")</f>
        <v>5511.4699999999993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396.21000000000004</v>
      </c>
      <c r="Y17" s="1">
        <f>IF(Agosto!Y33&gt;0,Agosto!Y33,"")</f>
        <v>3019.08</v>
      </c>
      <c r="Z17" s="1" t="str">
        <f>IF(Agosto!Z33&gt;0,Agosto!Z33,"")</f>
        <v/>
      </c>
      <c r="AA17" s="1">
        <f>IF(Agosto!AA33&gt;0,Agosto!AA33,"")</f>
        <v>6388.06</v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>
        <f>IF(Setiembre!C32&gt;0,Setiembre!C32,"")</f>
        <v>4369</v>
      </c>
      <c r="D18" s="1">
        <f>IF(Setiembre!D32&gt;0,Setiembre!D32,"")</f>
        <v>15706.32</v>
      </c>
      <c r="E18" s="1">
        <f>IF(Setiembre!E32&gt;0,Setiembre!E32,"")</f>
        <v>498</v>
      </c>
      <c r="F18" s="1">
        <f>IF(Setiembre!F32&gt;0,Setiembre!F32,"")</f>
        <v>26792</v>
      </c>
      <c r="G18" s="1" t="str">
        <f>IF(Setiembre!G32&gt;0,Setiembre!G32,"")</f>
        <v/>
      </c>
      <c r="H18" s="1">
        <f>IF(Setiembre!H32&gt;0,Setiembre!H32,"")</f>
        <v>3291.56</v>
      </c>
      <c r="I18" s="1">
        <f>IF(Setiembre!I32&gt;0,Setiembre!I32,"")</f>
        <v>3687.55</v>
      </c>
      <c r="J18" s="1">
        <f>IF(Setiembre!J32&gt;0,Setiembre!J32,"")</f>
        <v>1000</v>
      </c>
      <c r="K18" s="1">
        <f>IF(Setiembre!K32&gt;0,Setiembre!K32,"")</f>
        <v>23112.77</v>
      </c>
      <c r="L18" s="1">
        <f>IF(Setiembre!L32&gt;0,Setiembre!L32,"")</f>
        <v>7502.34</v>
      </c>
      <c r="M18" s="1">
        <f>IF(Setiembre!M32&gt;0,Setiembre!M32,"")</f>
        <v>23081.75</v>
      </c>
      <c r="N18" s="1">
        <f>IF(Setiembre!N32&gt;0,Setiembre!N32,"")</f>
        <v>810</v>
      </c>
      <c r="O18" s="1">
        <f>IF(Setiembre!O32&gt;0,Setiembre!O32,"")</f>
        <v>3396.5300000000007</v>
      </c>
      <c r="P18" s="1">
        <f>IF(Setiembre!P32&gt;0,Setiembre!P32,"")</f>
        <v>3600</v>
      </c>
      <c r="Q18" s="1">
        <f>IF(Setiembre!Q32&gt;0,Setiembre!Q32,"")</f>
        <v>2508.1999999999998</v>
      </c>
      <c r="R18" s="1">
        <f>IF(Setiembre!R32&gt;0,Setiembre!R32,"")</f>
        <v>25897.909999999996</v>
      </c>
      <c r="S18" s="1">
        <f>IF(Setiembre!S32&gt;0,Setiembre!S32,"")</f>
        <v>1174.1399999999999</v>
      </c>
      <c r="T18" s="1">
        <f>IF(Setiembre!T32&gt;0,Setiembre!T32,"")</f>
        <v>2189.06</v>
      </c>
      <c r="U18" s="1">
        <f>IF(Setiembre!U32&gt;0,Setiembre!U32,"")</f>
        <v>13110.49</v>
      </c>
      <c r="V18" s="1" t="str">
        <f>IF(Setiembre!V32&gt;0,Setiembre!V32,"")</f>
        <v/>
      </c>
      <c r="W18" s="1">
        <f>IF(Setiembre!W32&gt;0,Setiembre!W32,"")</f>
        <v>3247.54</v>
      </c>
      <c r="X18" s="1">
        <f>IF(Setiembre!X32&gt;0,Setiembre!X32,"")</f>
        <v>215</v>
      </c>
      <c r="Y18" s="1" t="str">
        <f>IF(Setiembre!Y32&gt;0,Setiembre!Y32,"")</f>
        <v/>
      </c>
      <c r="Z18" s="1" t="str">
        <f>IF(Setiembre!Z32&gt;0,Setiembre!Z32,"")</f>
        <v/>
      </c>
      <c r="AA18" s="1">
        <f>IF(Setiembre!AA32&gt;0,Setiembre!AA32,"")</f>
        <v>2374.73</v>
      </c>
    </row>
    <row r="19" spans="1:29" ht="15" customHeight="1" x14ac:dyDescent="0.25">
      <c r="A19" s="1" t="s">
        <v>42</v>
      </c>
      <c r="B19" s="1">
        <f>IF(Octubre!B33&gt;0,Octubre!B33,"")</f>
        <v>27138.14</v>
      </c>
      <c r="C19" s="1" t="str">
        <f>IF(Octubre!C33&gt;0,Octubre!C33,"")</f>
        <v/>
      </c>
      <c r="D19" s="1">
        <f>IF(Octubre!D33&gt;0,Octubre!D33,"")</f>
        <v>15751.26</v>
      </c>
      <c r="E19" s="1" t="str">
        <f>IF(Octubre!E33&gt;0,Octubre!E33,"")</f>
        <v/>
      </c>
      <c r="F19" s="1">
        <f>IF(Octubre!F33&gt;0,Octubre!F33,"")</f>
        <v>25901</v>
      </c>
      <c r="G19" s="1">
        <f>IF(Octubre!G33&gt;0,Octubre!G33,"")</f>
        <v>998.36</v>
      </c>
      <c r="H19" s="1">
        <f>IF(Octubre!H33&gt;0,Octubre!H33,"")</f>
        <v>3291.56</v>
      </c>
      <c r="I19" s="1">
        <f>IF(Octubre!I33&gt;0,Octubre!I33,"")</f>
        <v>3274.43</v>
      </c>
      <c r="J19" s="1">
        <f>IF(Octubre!J33&gt;0,Octubre!J33,"")</f>
        <v>700</v>
      </c>
      <c r="K19" s="1">
        <f>IF(Octubre!K33&gt;0,Octubre!K33,"")</f>
        <v>26737.25</v>
      </c>
      <c r="L19" s="1">
        <f>IF(Octubre!L33&gt;0,Octubre!L33,"")</f>
        <v>17990.03</v>
      </c>
      <c r="M19" s="1" t="str">
        <f>IF(Octubre!M33&gt;0,Octubre!M33,"")</f>
        <v/>
      </c>
      <c r="N19" s="1">
        <f>IF(Octubre!N33&gt;0,Octubre!N33,"")</f>
        <v>810</v>
      </c>
      <c r="O19" s="1">
        <f>IF(Octubre!O33&gt;0,Octubre!O33,"")</f>
        <v>491.81</v>
      </c>
      <c r="P19" s="1">
        <f>IF(Octubre!P33&gt;0,Octubre!P33,"")</f>
        <v>1800</v>
      </c>
      <c r="Q19" s="1" t="str">
        <f>IF(Octubre!Q33&gt;0,Octubre!Q33,"")</f>
        <v/>
      </c>
      <c r="R19" s="1">
        <f>IF(Octubre!R33&gt;0,Octubre!R33,"")</f>
        <v>10926.310000000001</v>
      </c>
      <c r="S19" s="1">
        <f>IF(Octubre!S33&gt;0,Octubre!S33,"")</f>
        <v>560.72</v>
      </c>
      <c r="T19" s="1">
        <f>IF(Octubre!T33&gt;0,Octubre!T33,"")</f>
        <v>1534.43</v>
      </c>
      <c r="U19" s="1" t="str">
        <f>IF(Octubre!U33&gt;0,Octubre!U33,"")</f>
        <v/>
      </c>
      <c r="V19" s="1" t="str">
        <f>IF(Octubre!V33&gt;0,Octubre!V33,"")</f>
        <v/>
      </c>
      <c r="W19" s="1">
        <f>IF(Octubre!W33&gt;0,Octubre!W33,"")</f>
        <v>500</v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>
        <f>IF(Octubre!AA33&gt;0,Octubre!AA33,"")</f>
        <v>5072.79</v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9" ht="15" customHeight="1" x14ac:dyDescent="0.25">
      <c r="A23" s="46" t="s">
        <v>48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-5308.6399999999994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3563.2099999999991</v>
      </c>
      <c r="S28" s="1">
        <f>IF(ISNUMBER(Agosto!S33),S6-Agosto!S33,"")</f>
        <v>41.880000000000109</v>
      </c>
      <c r="T28" s="1">
        <f>IF(ISNUMBER(Agosto!T33),T6-Agosto!T33,"")</f>
        <v>-511.46999999999935</v>
      </c>
      <c r="U28" s="1">
        <f>IF(ISNUMBER(Agosto!U33),U6-Agosto!U33,"")</f>
        <v>0</v>
      </c>
      <c r="V28" s="1">
        <f>IF(ISNUMBER(Agosto!V33),V6-Agosto!V33,"")</f>
        <v>0</v>
      </c>
      <c r="W28" s="1" t="str">
        <f>IF(ISNUMBER(Agosto!W33),W6-Agosto!W33,"")</f>
        <v/>
      </c>
      <c r="X28" s="1">
        <f>IF(ISNUMBER(Agosto!X33),X6-Agosto!X33,"")</f>
        <v>1103.79</v>
      </c>
      <c r="Y28" s="1">
        <f>IF(ISNUMBER(Agosto!Y33),Y6-Agosto!Y33,"")</f>
        <v>980.92000000000007</v>
      </c>
      <c r="Z28" s="1" t="str">
        <f>IF(ISNUMBER(Agosto!Z33),Z6-Agosto!Z33,"")</f>
        <v/>
      </c>
      <c r="AA28" s="1">
        <f>IF(ISNUMBER(Agosto!AA33),AA6-Agosto!AA33,"")</f>
        <v>-1388.0600000000004</v>
      </c>
      <c r="AC28" s="12">
        <f t="shared" si="7"/>
        <v>-1515.670000000001</v>
      </c>
    </row>
    <row r="29" spans="1:29" ht="15" customHeight="1" x14ac:dyDescent="0.25">
      <c r="A29" s="1" t="s">
        <v>41</v>
      </c>
      <c r="B29" s="1" t="str">
        <f>IF(ISNUMBER(Setiembre!B32),B8-Setiembre!B32,"")</f>
        <v/>
      </c>
      <c r="C29" s="1">
        <f>IF(ISNUMBER(Setiembre!C32),C7-Setiembre!C32,"")</f>
        <v>0</v>
      </c>
      <c r="D29" s="1">
        <f>IF(ISNUMBER(Setiembre!D32),D7-Setiembre!D32,"")</f>
        <v>0</v>
      </c>
      <c r="E29" s="1">
        <f>IF(ISNUMBER(Setiembre!E32),E7-Setiembre!E32,"")</f>
        <v>2</v>
      </c>
      <c r="F29" s="1">
        <f>IF(ISNUMBER(Setiembre!F32),F7-Setiembre!F32,"")</f>
        <v>708</v>
      </c>
      <c r="G29" s="1" t="str">
        <f>IF(ISNUMBER(Setiembre!G32),G7-Setiembre!G32,"")</f>
        <v/>
      </c>
      <c r="H29" s="1">
        <f>IF(ISNUMBER(Setiembre!H32),H7-Setiembre!H32,"")</f>
        <v>8.4400000000000546</v>
      </c>
      <c r="I29" s="1">
        <f>IF(ISNUMBER(Setiembre!I32),I7-Setiembre!I32,"")</f>
        <v>62.449999999999818</v>
      </c>
      <c r="J29" s="1">
        <f>IF(ISNUMBER(Setiembre!J32),J7-Setiembre!J32,"")</f>
        <v>0</v>
      </c>
      <c r="K29" s="1">
        <f>IF(ISNUMBER(Setiembre!K32),K7-Setiembre!K32,"")</f>
        <v>87.229999999999563</v>
      </c>
      <c r="L29" s="1">
        <f>IF(ISNUMBER(Setiembre!L32),L7-Setiembre!L32,"")</f>
        <v>2.6599999999998545</v>
      </c>
      <c r="M29" s="1">
        <f>IF(ISNUMBER(Setiembre!M32),M7-Setiembre!M32,"")</f>
        <v>-81.75</v>
      </c>
      <c r="N29" s="1">
        <f>IF(ISNUMBER(Setiembre!N32),N7-Setiembre!N32,"")</f>
        <v>0</v>
      </c>
      <c r="O29" s="1">
        <f>IF(ISNUMBER(Setiembre!O32),O7-Setiembre!O32,"")</f>
        <v>4603.4699999999993</v>
      </c>
      <c r="P29" s="1">
        <f>IF(ISNUMBER(Setiembre!P32),P7-Setiembre!P32,"")</f>
        <v>-1800</v>
      </c>
      <c r="Q29" s="1">
        <f>IF(ISNUMBER(Setiembre!Q32),Q7-Setiembre!Q32,"")</f>
        <v>-8.1999999999998181</v>
      </c>
      <c r="R29" s="1">
        <f>IF(ISNUMBER(Setiembre!R32),R7-Setiembre!R32,"")</f>
        <v>-6897.9099999999962</v>
      </c>
      <c r="S29" s="1">
        <f>IF(ISNUMBER(Setiembre!S32),S7-Setiembre!S32,"")</f>
        <v>825.86000000000013</v>
      </c>
      <c r="T29" s="1">
        <f>IF(ISNUMBER(Setiembre!T32),T7-Setiembre!T32,"")</f>
        <v>2810.94</v>
      </c>
      <c r="U29" s="1">
        <f>IF(ISNUMBER(Setiembre!U32),U7-Setiembre!U32,"")</f>
        <v>4.5100000000002183</v>
      </c>
      <c r="V29" s="1" t="str">
        <f>IF(ISNUMBER(Setiembre!V32),V7-Setiembre!V32,"")</f>
        <v/>
      </c>
      <c r="W29" s="1">
        <f>IF(ISNUMBER(Setiembre!W32),W7-Setiembre!W32,"")</f>
        <v>-247.53999999999996</v>
      </c>
      <c r="X29" s="1">
        <f>IF(ISNUMBER(Setiembre!X32),X7-Setiembre!X32,"")</f>
        <v>585</v>
      </c>
      <c r="Y29" s="1" t="str">
        <f>IF(ISNUMBER(Setiembre!Y32),Y7-Setiembre!Y32,"")</f>
        <v/>
      </c>
      <c r="Z29" s="1" t="str">
        <f>IF(ISNUMBER(Setiembre!Z32),Z7-Setiembre!Z32,"")</f>
        <v/>
      </c>
      <c r="AA29" s="1">
        <f>IF(ISNUMBER(Setiembre!AA32),AA7-Setiembre!AA32,"")</f>
        <v>2625.27</v>
      </c>
      <c r="AC29" s="12">
        <f t="shared" si="7"/>
        <v>3290.4300000000026</v>
      </c>
    </row>
    <row r="30" spans="1:29" ht="15" customHeight="1" x14ac:dyDescent="0.25">
      <c r="A30" s="1" t="s">
        <v>42</v>
      </c>
      <c r="B30" s="1" t="str">
        <f>IF(ISNUMBER(Setiembre!B33),B9-Setiembre!B33,"")</f>
        <v/>
      </c>
      <c r="C30" s="1">
        <f>IF(ISNUMBER(Octubre!C33),C8-Octubre!C33,"")</f>
        <v>0</v>
      </c>
      <c r="D30" s="1">
        <f>IF(ISNUMBER(Octubre!D33),D8-Octubre!D33,"")</f>
        <v>-1.2600000000002183</v>
      </c>
      <c r="E30" s="1">
        <f>IF(ISNUMBER(Octubre!E33),E8-Octubre!E33,"")</f>
        <v>0</v>
      </c>
      <c r="F30" s="1">
        <f>IF(ISNUMBER(Octubre!F33),F8-Octubre!F33,"")</f>
        <v>1599</v>
      </c>
      <c r="G30" s="1">
        <f>IF(ISNUMBER(Octubre!G33),G8-Octubre!G33,"")</f>
        <v>101.63999999999999</v>
      </c>
      <c r="H30" s="1">
        <f>IF(ISNUMBER(Octubre!H33),H8-Octubre!H33,"")</f>
        <v>8.4400000000000546</v>
      </c>
      <c r="I30" s="1">
        <f>IF(ISNUMBER(Octubre!I33),I8-Octubre!I33,"")</f>
        <v>-274.42999999999984</v>
      </c>
      <c r="J30" s="1">
        <f>IF(ISNUMBER(Octubre!J33),J8-Octubre!J33,"")</f>
        <v>0</v>
      </c>
      <c r="K30" s="1">
        <f>IF(ISNUMBER(Octubre!K33),K8-Octubre!K33,"")</f>
        <v>0.75</v>
      </c>
      <c r="L30" s="1">
        <f>IF(ISNUMBER(Octubre!L33),L8-Octubre!L33,"")</f>
        <v>9.9700000000011642</v>
      </c>
      <c r="M30" s="1" t="str">
        <f>IF(ISNUMBER(Octubre!M33),M8-Octubre!M33,"")</f>
        <v/>
      </c>
      <c r="N30" s="1">
        <f>IF(ISNUMBER(Octubre!N33),N8-Octubre!N33,"")</f>
        <v>0</v>
      </c>
      <c r="O30" s="1">
        <f>IF(ISNUMBER(Octubre!O33),O8-Octubre!O33,"")</f>
        <v>3908.19</v>
      </c>
      <c r="P30" s="1">
        <f>IF(ISNUMBER(Octubre!P33),P8-Octubre!P33,"")</f>
        <v>1800</v>
      </c>
      <c r="Q30" s="1" t="str">
        <f>IF(ISNUMBER(Octubre!Q33),Q8-Octubre!Q33,"")</f>
        <v/>
      </c>
      <c r="R30" s="1">
        <f>IF(ISNUMBER(Octubre!R33),R8-Octubre!R33,"")</f>
        <v>9073.6899999999987</v>
      </c>
      <c r="S30" s="1">
        <f>IF(ISNUMBER(Octubre!S33),S8-Octubre!S33,"")</f>
        <v>1439.28</v>
      </c>
      <c r="T30" s="1">
        <f>IF(ISNUMBER(Octubre!T33),T8-Octubre!T33,"")</f>
        <v>3465.5699999999997</v>
      </c>
      <c r="U30" s="1">
        <f>IF(ISNUMBER(Octubre!U33),U8-Octubre!U33,"")</f>
        <v>0</v>
      </c>
      <c r="V30" s="1" t="str">
        <f>IF(ISNUMBER(Octubre!V33),V8-Octubre!V33,"")</f>
        <v/>
      </c>
      <c r="W30" s="1">
        <f>IF(ISNUMBER(Octubre!W33),W8-Octubre!W33,"")</f>
        <v>2500</v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>
        <f>IF(ISNUMBER(Octubre!AA33),AA8-Octubre!AA33,"")</f>
        <v>-72.789999999999964</v>
      </c>
      <c r="AC30" s="12">
        <f t="shared" si="7"/>
        <v>23558.05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55.449999999998909</v>
      </c>
      <c r="E33" s="12">
        <f t="shared" si="8"/>
        <v>-358.81999999999971</v>
      </c>
      <c r="F33" s="12">
        <f t="shared" si="8"/>
        <v>421</v>
      </c>
      <c r="G33" s="12">
        <f t="shared" si="8"/>
        <v>106.63999999999999</v>
      </c>
      <c r="H33" s="12">
        <f t="shared" si="8"/>
        <v>433.76000000000022</v>
      </c>
      <c r="I33" s="12">
        <f t="shared" si="8"/>
        <v>802.10999999999967</v>
      </c>
      <c r="J33" s="12">
        <f t="shared" si="8"/>
        <v>300</v>
      </c>
      <c r="K33" s="12">
        <f t="shared" si="8"/>
        <v>102.04999999999791</v>
      </c>
      <c r="L33" s="12">
        <f t="shared" si="8"/>
        <v>342.16999999999825</v>
      </c>
      <c r="M33" s="12">
        <f t="shared" si="8"/>
        <v>-13678.119999999999</v>
      </c>
      <c r="N33" s="12">
        <f t="shared" si="8"/>
        <v>80</v>
      </c>
      <c r="O33" s="12">
        <f t="shared" si="8"/>
        <v>14617.86</v>
      </c>
      <c r="P33" s="12">
        <f t="shared" si="8"/>
        <v>1800</v>
      </c>
      <c r="Q33" s="12">
        <f t="shared" si="8"/>
        <v>42.620000000000346</v>
      </c>
      <c r="R33" s="12">
        <f t="shared" si="8"/>
        <v>6493.6500000000015</v>
      </c>
      <c r="S33" s="12">
        <f t="shared" si="8"/>
        <v>4200.8200000000006</v>
      </c>
      <c r="T33" s="12">
        <f t="shared" si="8"/>
        <v>7503.5400000000009</v>
      </c>
      <c r="U33" s="12">
        <f t="shared" si="8"/>
        <v>619.26000000000022</v>
      </c>
      <c r="V33" s="12">
        <f t="shared" si="8"/>
        <v>0</v>
      </c>
      <c r="W33" s="12">
        <f t="shared" si="8"/>
        <v>3983.6</v>
      </c>
      <c r="X33" s="12">
        <f t="shared" si="8"/>
        <v>3764.7</v>
      </c>
      <c r="Y33" s="12">
        <f t="shared" si="8"/>
        <v>767.64000000000033</v>
      </c>
      <c r="Z33" s="12">
        <f t="shared" si="8"/>
        <v>-1650</v>
      </c>
      <c r="AA33" s="12">
        <f t="shared" si="8"/>
        <v>-15386.39</v>
      </c>
      <c r="AC33" s="12">
        <f t="shared" si="7"/>
        <v>15363.539999999997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E27" sqref="E27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6" sqref="A16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7.7109375" bestFit="1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25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>
        <v>650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3960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945-15.49</f>
        <v>929.51</v>
      </c>
      <c r="S15" s="35"/>
      <c r="T15" s="35"/>
      <c r="U15" s="35"/>
      <c r="V15" s="35"/>
      <c r="W15" s="35"/>
      <c r="X15" s="35">
        <v>215</v>
      </c>
      <c r="Y15" s="35"/>
      <c r="Z15" s="35"/>
      <c r="AA15" s="35"/>
      <c r="AB15" s="36"/>
      <c r="AC15" s="35">
        <f t="shared" si="0"/>
        <v>1144.51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858+235+873-15.74-63.3-3.85</f>
        <v>1883.1100000000001</v>
      </c>
      <c r="S16" s="35"/>
      <c r="T16" s="35"/>
      <c r="U16" s="35"/>
      <c r="V16" s="35"/>
      <c r="W16" s="35"/>
      <c r="X16" s="35"/>
      <c r="Y16" s="35">
        <f>760-12.46</f>
        <v>747.54</v>
      </c>
      <c r="Z16" s="35"/>
      <c r="AA16" s="35"/>
      <c r="AB16" s="36"/>
      <c r="AC16" s="35">
        <f t="shared" si="0"/>
        <v>2630.65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513-8.41</f>
        <v>504.59</v>
      </c>
      <c r="S17" s="35"/>
      <c r="T17" s="35"/>
      <c r="U17" s="35"/>
      <c r="V17" s="35"/>
      <c r="W17" s="35"/>
      <c r="X17" s="35"/>
      <c r="Y17" s="35"/>
      <c r="Z17" s="35"/>
      <c r="AA17" s="35">
        <f>485-7.95</f>
        <v>477.05</v>
      </c>
      <c r="AB17" s="36"/>
      <c r="AC17" s="35">
        <f t="shared" si="0"/>
        <v>981.64</v>
      </c>
      <c r="AD17" s="35" t="s">
        <v>82</v>
      </c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41">
        <v>1584</v>
      </c>
      <c r="AB18" s="36"/>
      <c r="AC18" s="35">
        <f t="shared" si="0"/>
        <v>1584</v>
      </c>
      <c r="AD18" s="35" t="s">
        <v>83</v>
      </c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>
        <f>500-8.19</f>
        <v>491.81</v>
      </c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>
        <f>352+470+353-8.54-5.6-3.33</f>
        <v>1157.5300000000002</v>
      </c>
      <c r="AB19" s="36"/>
      <c r="AC19" s="35">
        <f t="shared" si="0"/>
        <v>1649.3400000000001</v>
      </c>
      <c r="AD19" s="35" t="s">
        <v>84</v>
      </c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v>3900</v>
      </c>
      <c r="P20" s="35"/>
      <c r="Q20" s="35"/>
      <c r="R20" s="35">
        <f>1040.99-18.39</f>
        <v>1022.6</v>
      </c>
      <c r="S20" s="35">
        <f>874-15.88</f>
        <v>858.12</v>
      </c>
      <c r="T20" s="35"/>
      <c r="U20" s="35"/>
      <c r="V20" s="35"/>
      <c r="W20" s="35"/>
      <c r="X20" s="35"/>
      <c r="Y20" s="35"/>
      <c r="Z20" s="35"/>
      <c r="AA20" s="35">
        <f>281-4.61</f>
        <v>276.39</v>
      </c>
      <c r="AB20" s="36"/>
      <c r="AC20" s="35">
        <f t="shared" si="0"/>
        <v>6057.1100000000006</v>
      </c>
      <c r="AD20" s="35" t="s">
        <v>85</v>
      </c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-858</v>
      </c>
      <c r="P21" s="35"/>
      <c r="Q21" s="35"/>
      <c r="R21" s="35">
        <f>727-12.92</f>
        <v>714.08</v>
      </c>
      <c r="S21" s="35"/>
      <c r="T21" s="35">
        <f>70+1080-0.66+269.46-19.88+570-9.34</f>
        <v>1959.58</v>
      </c>
      <c r="U21" s="35"/>
      <c r="V21" s="35"/>
      <c r="W21" s="35"/>
      <c r="X21" s="35"/>
      <c r="Y21" s="35">
        <f>450-7.38</f>
        <v>442.62</v>
      </c>
      <c r="Z21" s="35"/>
      <c r="AA21" s="35"/>
      <c r="AB21" s="36"/>
      <c r="AC21" s="35">
        <f t="shared" si="0"/>
        <v>2258.2799999999997</v>
      </c>
      <c r="AD21" s="35" t="s">
        <v>86</v>
      </c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42">
        <v>150</v>
      </c>
      <c r="P22" s="35"/>
      <c r="Q22" s="35"/>
      <c r="R22" s="42">
        <v>800</v>
      </c>
      <c r="S22" s="42">
        <v>1600</v>
      </c>
      <c r="T22" s="35"/>
      <c r="U22" s="35"/>
      <c r="V22" s="35"/>
      <c r="W22" s="35"/>
      <c r="X22" s="35"/>
      <c r="Y22" s="35"/>
      <c r="Z22" s="35"/>
      <c r="AA22" s="42">
        <v>1150</v>
      </c>
      <c r="AB22" s="36"/>
      <c r="AC22" s="35">
        <f t="shared" si="0"/>
        <v>3700</v>
      </c>
      <c r="AD22" s="35" t="s">
        <v>87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42">
        <v>2600</v>
      </c>
      <c r="P23" s="35"/>
      <c r="Q23" s="35"/>
      <c r="R23" s="42">
        <v>1500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4100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>
        <f>310-5.08</f>
        <v>304.92</v>
      </c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304.92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1437.41+331+728-5.43-24.91-12.57</f>
        <v>2453.5</v>
      </c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2453.5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>
        <f>117-1.92+399</f>
        <v>514.08000000000004</v>
      </c>
      <c r="AB28" s="36"/>
      <c r="AC28" s="35">
        <f t="shared" si="0"/>
        <v>514.08000000000004</v>
      </c>
      <c r="AD28" s="35" t="s">
        <v>88</v>
      </c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>
        <f>1000-16.39</f>
        <v>983.61</v>
      </c>
      <c r="P31" s="35"/>
      <c r="Q31" s="35"/>
      <c r="R31" s="35"/>
      <c r="S31" s="35"/>
      <c r="T31" s="35">
        <f>271+387-6.34+260</f>
        <v>911.66</v>
      </c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1895.27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>
        <v>2000</v>
      </c>
      <c r="P32" s="35"/>
      <c r="Q32" s="35"/>
      <c r="R32" s="35"/>
      <c r="S32" s="35"/>
      <c r="T32" s="35">
        <v>758</v>
      </c>
      <c r="U32" s="35">
        <v>0</v>
      </c>
      <c r="V32" s="35">
        <v>0</v>
      </c>
      <c r="W32" s="35"/>
      <c r="X32" s="35"/>
      <c r="Y32" s="35">
        <f>1860-31.08</f>
        <v>1828.92</v>
      </c>
      <c r="Z32" s="35"/>
      <c r="AA32" s="35"/>
      <c r="AB32" s="36"/>
      <c r="AC32" s="35">
        <f t="shared" si="0"/>
        <v>4586.92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13308.64</v>
      </c>
      <c r="P33" s="12">
        <f t="shared" si="1"/>
        <v>1800</v>
      </c>
      <c r="Q33" s="12" t="str">
        <f t="shared" si="1"/>
        <v/>
      </c>
      <c r="R33" s="12">
        <f t="shared" si="1"/>
        <v>16436.79</v>
      </c>
      <c r="S33" s="12">
        <f t="shared" si="1"/>
        <v>2458.12</v>
      </c>
      <c r="T33" s="12">
        <f t="shared" si="1"/>
        <v>5511.4699999999993</v>
      </c>
      <c r="U33" s="12">
        <f t="shared" si="1"/>
        <v>0</v>
      </c>
      <c r="V33" s="12">
        <f t="shared" si="1"/>
        <v>0</v>
      </c>
      <c r="W33" s="12" t="str">
        <f t="shared" si="1"/>
        <v/>
      </c>
      <c r="X33" s="12">
        <f t="shared" si="1"/>
        <v>396.21000000000004</v>
      </c>
      <c r="Y33" s="12">
        <f t="shared" si="1"/>
        <v>3019.08</v>
      </c>
      <c r="Z33" s="12" t="str">
        <f t="shared" si="1"/>
        <v/>
      </c>
      <c r="AA33" s="12">
        <f t="shared" si="1"/>
        <v>6388.06</v>
      </c>
      <c r="AB33" s="38" t="str">
        <f t="shared" si="1"/>
        <v/>
      </c>
      <c r="AC33" s="12">
        <f t="shared" si="1"/>
        <v>153939.63999999998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topLeftCell="R16" zoomScaleNormal="100" workbookViewId="0">
      <selection activeCell="R31" sqref="R3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28515625" customWidth="1"/>
    <col min="5" max="12" width="13" customWidth="1"/>
    <col min="13" max="13" width="15.7109375" customWidth="1"/>
    <col min="14" max="25" width="13" customWidth="1"/>
    <col min="26" max="26" width="16.140625" customWidth="1"/>
    <col min="27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90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859.68-13.39</f>
        <v>846.29</v>
      </c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846.29</v>
      </c>
      <c r="AD2" s="35"/>
    </row>
    <row r="3" spans="1:30" ht="15" customHeight="1" x14ac:dyDescent="0.25">
      <c r="A3" s="34">
        <v>2</v>
      </c>
      <c r="B3" s="35"/>
      <c r="C3" s="35"/>
      <c r="D3" s="35"/>
      <c r="E3" s="35">
        <v>498</v>
      </c>
      <c r="F3" s="35">
        <v>18447</v>
      </c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605-44.65</f>
        <v>560.35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19505.349999999999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>
        <v>8345</v>
      </c>
      <c r="G4" s="35"/>
      <c r="H4" s="35">
        <f>3327-35.44</f>
        <v>3291.56</v>
      </c>
      <c r="I4" s="35">
        <f>3749-61.45</f>
        <v>3687.55</v>
      </c>
      <c r="J4" s="35"/>
      <c r="K4" s="35"/>
      <c r="L4" s="35"/>
      <c r="M4" s="35"/>
      <c r="N4" s="35"/>
      <c r="O4" s="35"/>
      <c r="P4" s="35">
        <v>1800</v>
      </c>
      <c r="Q4" s="35"/>
      <c r="R4" s="35">
        <f>378+1112.2+742-15.61-6.43</f>
        <v>2210.16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19334.27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263-19.4+177+0.14-3.22</f>
        <v>417.52</v>
      </c>
      <c r="S5" s="35"/>
      <c r="T5" s="35"/>
      <c r="U5" s="35"/>
      <c r="V5" s="35"/>
      <c r="W5" s="35"/>
      <c r="X5" s="35"/>
      <c r="Y5" s="35"/>
      <c r="Z5" s="35"/>
      <c r="AA5" s="35">
        <v>42</v>
      </c>
      <c r="AB5" s="36"/>
      <c r="AC5" s="35">
        <f t="shared" si="0"/>
        <v>459.52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>
        <v>23112.77</v>
      </c>
      <c r="L6" s="35"/>
      <c r="M6" s="35"/>
      <c r="N6" s="35"/>
      <c r="O6" s="35"/>
      <c r="P6" s="35"/>
      <c r="Q6" s="35"/>
      <c r="R6" s="35">
        <f>542-7.64+587-9.62</f>
        <v>1111.7400000000002</v>
      </c>
      <c r="S6" s="35"/>
      <c r="T6" s="35"/>
      <c r="U6" s="35"/>
      <c r="V6" s="35"/>
      <c r="W6" s="35"/>
      <c r="X6" s="35"/>
      <c r="Y6" s="35"/>
      <c r="Z6" s="35"/>
      <c r="AA6" s="35">
        <v>300</v>
      </c>
      <c r="AB6" s="36"/>
      <c r="AC6" s="35">
        <f t="shared" si="0"/>
        <v>24524.510000000002</v>
      </c>
      <c r="AD6" s="35" t="s">
        <v>89</v>
      </c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>
        <f>7245.67+256.67</f>
        <v>7502.34</v>
      </c>
      <c r="M7" s="35"/>
      <c r="N7" s="35"/>
      <c r="O7" s="35"/>
      <c r="P7" s="35"/>
      <c r="Q7" s="35"/>
      <c r="R7" s="35">
        <f>755-12.38</f>
        <v>742.62</v>
      </c>
      <c r="S7" s="35"/>
      <c r="T7" s="35"/>
      <c r="U7" s="35"/>
      <c r="V7" s="35"/>
      <c r="W7" s="35">
        <f>1980-32.46</f>
        <v>1947.54</v>
      </c>
      <c r="X7" s="35"/>
      <c r="Y7" s="35"/>
      <c r="Z7" s="35"/>
      <c r="AA7" s="35">
        <f>320-5.45+1244.58</f>
        <v>1559.1299999999999</v>
      </c>
      <c r="AB7" s="36"/>
      <c r="AC7" s="35">
        <f t="shared" si="0"/>
        <v>11751.63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>
        <f>13329-218.51</f>
        <v>13110.49</v>
      </c>
      <c r="V9" s="35"/>
      <c r="W9" s="35"/>
      <c r="X9" s="35"/>
      <c r="Y9" s="35"/>
      <c r="Z9" s="35"/>
      <c r="AA9" s="35"/>
      <c r="AB9" s="36"/>
      <c r="AC9" s="35">
        <f t="shared" si="0"/>
        <v>13110.49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263-4.57+952-16.36</f>
        <v>1194.0700000000002</v>
      </c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1194.0700000000002</v>
      </c>
      <c r="AD10" s="35"/>
    </row>
    <row r="11" spans="1:30" ht="15" customHeight="1" x14ac:dyDescent="0.25">
      <c r="A11" s="34">
        <v>10</v>
      </c>
      <c r="B11" s="35"/>
      <c r="C11" s="35"/>
      <c r="D11" s="35">
        <v>15706.32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>
        <f>746+720-12.65-53.11</f>
        <v>1400.24</v>
      </c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17106.560000000001</v>
      </c>
      <c r="AD11" s="35"/>
    </row>
    <row r="12" spans="1:30" ht="15" customHeight="1" x14ac:dyDescent="0.25">
      <c r="A12" s="34">
        <v>11</v>
      </c>
      <c r="B12" s="35"/>
      <c r="C12" s="35">
        <v>4369</v>
      </c>
      <c r="D12" s="35"/>
      <c r="E12" s="35"/>
      <c r="F12" s="35"/>
      <c r="G12" s="35"/>
      <c r="H12" s="35"/>
      <c r="I12" s="35"/>
      <c r="J12" s="35">
        <v>1000</v>
      </c>
      <c r="K12" s="35"/>
      <c r="L12" s="35"/>
      <c r="M12" s="35"/>
      <c r="N12" s="35">
        <v>810</v>
      </c>
      <c r="O12" s="35"/>
      <c r="P12" s="35"/>
      <c r="Q12" s="35"/>
      <c r="R12" s="35">
        <f>898-14.72+0.94+785.75-14.29</f>
        <v>1655.68</v>
      </c>
      <c r="S12" s="35"/>
      <c r="T12" s="35"/>
      <c r="U12" s="35"/>
      <c r="V12" s="35"/>
      <c r="W12" s="35"/>
      <c r="X12" s="35"/>
      <c r="Y12" s="35"/>
      <c r="Z12" s="35"/>
      <c r="AA12" s="35">
        <v>270</v>
      </c>
      <c r="AB12" s="36"/>
      <c r="AC12" s="35">
        <f t="shared" si="0"/>
        <v>8104.68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>
        <f>500-8.19</f>
        <v>491.81</v>
      </c>
      <c r="P14" s="35"/>
      <c r="Q14" s="35"/>
      <c r="R14" s="35">
        <f>180-2.95+197-3.23+80-5.9+240+460+450-7.38+248-4.07+315-5.72</f>
        <v>2140.7500000000005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2632.5600000000004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761-13.2</f>
        <v>747.8</v>
      </c>
      <c r="S15" s="35"/>
      <c r="T15" s="35"/>
      <c r="U15" s="35"/>
      <c r="V15" s="35"/>
      <c r="W15" s="35"/>
      <c r="X15" s="35"/>
      <c r="Y15" s="35"/>
      <c r="Z15" s="35"/>
      <c r="AA15" s="35">
        <f>128-2.1</f>
        <v>125.9</v>
      </c>
      <c r="AB15" s="36"/>
      <c r="AC15" s="35">
        <f t="shared" si="0"/>
        <v>873.69999999999993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215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>
        <f>2550-41.8</f>
        <v>2508.1999999999998</v>
      </c>
      <c r="R18" s="35"/>
      <c r="S18" s="35">
        <f>926-14.75</f>
        <v>911.25</v>
      </c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3419.45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>
        <f>21570.71+1511.04</f>
        <v>23081.75</v>
      </c>
      <c r="N19" s="35"/>
      <c r="O19" s="35"/>
      <c r="P19" s="35"/>
      <c r="Q19" s="35"/>
      <c r="R19" s="35">
        <f>469+432+1666-7.31-26.74-8.53</f>
        <v>2524.42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25606.17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449+616-7.36-10.1</f>
        <v>1047.5400000000002</v>
      </c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1047.5400000000002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662-10.9+692-11.34</f>
        <v>1331.76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1331.76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3724</v>
      </c>
      <c r="P25" s="35"/>
      <c r="Q25" s="35"/>
      <c r="R25" s="35">
        <f>119.18+540-11.8-1.95-39.84+720</f>
        <v>1325.5900000000001</v>
      </c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5049.59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>
        <v>-819.28</v>
      </c>
      <c r="P26" s="35">
        <v>1800</v>
      </c>
      <c r="Q26" s="35"/>
      <c r="R26" s="35">
        <f>444.94-7.49+481+1769.48-6.64-30.72</f>
        <v>2650.5700000000006</v>
      </c>
      <c r="S26" s="35"/>
      <c r="T26" s="35">
        <f>480-7.87+739.55-12.57+1006.45-16.5</f>
        <v>2189.06</v>
      </c>
      <c r="U26" s="35"/>
      <c r="V26" s="35"/>
      <c r="W26" s="35">
        <v>1300</v>
      </c>
      <c r="X26" s="35"/>
      <c r="Y26" s="35"/>
      <c r="Z26" s="35"/>
      <c r="AA26" s="35"/>
      <c r="AB26" s="36"/>
      <c r="AC26" s="35">
        <f t="shared" si="0"/>
        <v>7120.35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1143+488-10.37+633-18.74-8+400</f>
        <v>2626.8900000000003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2626.8900000000003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>
        <f>265.01-2.12</f>
        <v>262.89</v>
      </c>
      <c r="T30" s="35"/>
      <c r="U30" s="35"/>
      <c r="V30" s="35"/>
      <c r="W30" s="35"/>
      <c r="X30" s="35"/>
      <c r="Y30" s="35"/>
      <c r="Z30" s="35"/>
      <c r="AA30" s="35">
        <f>79-1.3</f>
        <v>77.7</v>
      </c>
      <c r="AB30" s="36"/>
      <c r="AC30" s="35">
        <f t="shared" si="0"/>
        <v>340.59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>
        <f>1004-14.15+381-6.93</f>
        <v>1363.9199999999998</v>
      </c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1363.9199999999998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>
        <f t="shared" si="1"/>
        <v>4369</v>
      </c>
      <c r="D32" s="12">
        <f t="shared" si="1"/>
        <v>15706.32</v>
      </c>
      <c r="E32" s="12">
        <f t="shared" si="1"/>
        <v>498</v>
      </c>
      <c r="F32" s="12">
        <f t="shared" si="1"/>
        <v>26792</v>
      </c>
      <c r="G32" s="12" t="str">
        <f t="shared" si="1"/>
        <v/>
      </c>
      <c r="H32" s="12">
        <f t="shared" si="1"/>
        <v>3291.56</v>
      </c>
      <c r="I32" s="12">
        <f t="shared" si="1"/>
        <v>3687.55</v>
      </c>
      <c r="J32" s="12">
        <f t="shared" si="1"/>
        <v>1000</v>
      </c>
      <c r="K32" s="12">
        <f t="shared" si="1"/>
        <v>23112.77</v>
      </c>
      <c r="L32" s="12">
        <f t="shared" si="1"/>
        <v>7502.34</v>
      </c>
      <c r="M32" s="12">
        <f t="shared" si="1"/>
        <v>23081.75</v>
      </c>
      <c r="N32" s="12">
        <f t="shared" si="1"/>
        <v>810</v>
      </c>
      <c r="O32" s="12">
        <f t="shared" si="1"/>
        <v>3396.5300000000007</v>
      </c>
      <c r="P32" s="12">
        <f t="shared" si="1"/>
        <v>3600</v>
      </c>
      <c r="Q32" s="12">
        <f t="shared" si="1"/>
        <v>2508.1999999999998</v>
      </c>
      <c r="R32" s="12">
        <f t="shared" si="1"/>
        <v>25897.909999999996</v>
      </c>
      <c r="S32" s="12">
        <f t="shared" si="1"/>
        <v>1174.1399999999999</v>
      </c>
      <c r="T32" s="12">
        <f t="shared" si="1"/>
        <v>2189.06</v>
      </c>
      <c r="U32" s="12">
        <f t="shared" si="1"/>
        <v>13110.49</v>
      </c>
      <c r="V32" s="12" t="str">
        <f t="shared" si="1"/>
        <v/>
      </c>
      <c r="W32" s="12">
        <f t="shared" si="1"/>
        <v>3247.54</v>
      </c>
      <c r="X32" s="12">
        <f t="shared" si="1"/>
        <v>215</v>
      </c>
      <c r="Y32" s="12" t="str">
        <f t="shared" si="1"/>
        <v/>
      </c>
      <c r="Z32" s="12" t="str">
        <f t="shared" si="1"/>
        <v/>
      </c>
      <c r="AA32" s="12">
        <f t="shared" si="1"/>
        <v>2374.73</v>
      </c>
      <c r="AB32" s="38" t="str">
        <f t="shared" si="1"/>
        <v/>
      </c>
      <c r="AC32" s="12">
        <f t="shared" si="1"/>
        <v>167564.89000000004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abSelected="1" topLeftCell="J1" zoomScaleNormal="100" workbookViewId="0">
      <selection activeCell="L10" sqref="L10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5703125" customWidth="1"/>
    <col min="5" max="12" width="13" customWidth="1"/>
    <col min="13" max="13" width="17.140625" customWidth="1"/>
    <col min="14" max="25" width="13" customWidth="1"/>
    <col min="26" max="26" width="15.28515625" customWidth="1"/>
    <col min="27" max="27" width="13" customWidth="1"/>
    <col min="28" max="28" width="14" customWidth="1"/>
    <col min="29" max="29" width="25" customWidth="1"/>
    <col min="30" max="30" width="23.710937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>
        <v>0</v>
      </c>
      <c r="D2" s="35"/>
      <c r="E2" s="35">
        <v>0</v>
      </c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1076-17.64</f>
        <v>1058.3599999999999</v>
      </c>
      <c r="S2" s="35"/>
      <c r="T2" s="35"/>
      <c r="U2" s="35">
        <v>0</v>
      </c>
      <c r="V2" s="35"/>
      <c r="W2" s="35"/>
      <c r="X2" s="35"/>
      <c r="Y2" s="35"/>
      <c r="Z2" s="35"/>
      <c r="AA2" s="35"/>
      <c r="AB2" s="36"/>
      <c r="AC2" s="35">
        <f t="shared" ref="AC2:AC32" si="0">SUM(B2:AA2)</f>
        <v>1058.3599999999999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1237-39.84+540-18.97</f>
        <v>1718.19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1718.19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43">
        <v>18447</v>
      </c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131-2.23</f>
        <v>128.77000000000001</v>
      </c>
      <c r="S4" s="35"/>
      <c r="T4" s="35">
        <f>1300-21.31+260-4.26</f>
        <v>1534.43</v>
      </c>
      <c r="U4" s="35"/>
      <c r="V4" s="35"/>
      <c r="W4" s="35"/>
      <c r="X4" s="35"/>
      <c r="Y4" s="35"/>
      <c r="Z4" s="35"/>
      <c r="AA4" s="35"/>
      <c r="AB4" s="36"/>
      <c r="AC4" s="35">
        <f t="shared" si="0"/>
        <v>20602.010000000002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962+1100-15.77-18.03+1436-17.52+131-2.23</f>
        <v>3575.45</v>
      </c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3575.45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>
        <f>3327-35.44</f>
        <v>3291.56</v>
      </c>
      <c r="I7" s="35">
        <f>3329-54.57</f>
        <v>3274.43</v>
      </c>
      <c r="J7" s="35"/>
      <c r="K7" s="35">
        <v>26737.25</v>
      </c>
      <c r="L7" s="35"/>
      <c r="M7" s="35"/>
      <c r="N7" s="35"/>
      <c r="O7" s="35"/>
      <c r="P7" s="35"/>
      <c r="Q7" s="35"/>
      <c r="R7" s="35">
        <f>266-4.36</f>
        <v>261.64</v>
      </c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33564.879999999997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>
        <v>700</v>
      </c>
      <c r="K8" s="35"/>
      <c r="L8" s="35"/>
      <c r="M8" s="35"/>
      <c r="N8" s="35">
        <v>810</v>
      </c>
      <c r="O8" s="35"/>
      <c r="P8" s="35"/>
      <c r="Q8" s="35"/>
      <c r="R8" s="35">
        <f>281.35-4.65</f>
        <v>276.70000000000005</v>
      </c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1786.7</v>
      </c>
      <c r="AD8" s="35"/>
    </row>
    <row r="9" spans="1:30" ht="15" customHeight="1" x14ac:dyDescent="0.25">
      <c r="A9" s="34">
        <v>8</v>
      </c>
      <c r="B9" s="35">
        <f>76.49+18.15+21856+5187.5</f>
        <v>27138.14</v>
      </c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342-3.37</f>
        <v>338.63</v>
      </c>
      <c r="S9" s="35"/>
      <c r="T9" s="35"/>
      <c r="U9" s="35"/>
      <c r="V9" s="35"/>
      <c r="W9" s="35"/>
      <c r="X9" s="35"/>
      <c r="Y9" s="35"/>
      <c r="Z9" s="35"/>
      <c r="AA9" s="35">
        <v>2500</v>
      </c>
      <c r="AB9" s="36"/>
      <c r="AC9" s="35">
        <f t="shared" si="0"/>
        <v>29976.77</v>
      </c>
      <c r="AD9" s="35" t="s">
        <v>91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>
        <f>1015-16.64</f>
        <v>998.36</v>
      </c>
      <c r="H10" s="35"/>
      <c r="I10" s="35"/>
      <c r="J10" s="35"/>
      <c r="K10" s="35"/>
      <c r="L10" s="35">
        <f>9705.89+8284.14</f>
        <v>17990.03</v>
      </c>
      <c r="M10" s="35"/>
      <c r="N10" s="35"/>
      <c r="O10" s="35"/>
      <c r="P10" s="35"/>
      <c r="Q10" s="35"/>
      <c r="R10" s="35">
        <f>743-13.51</f>
        <v>729.49</v>
      </c>
      <c r="S10" s="35"/>
      <c r="T10" s="35"/>
      <c r="U10" s="35"/>
      <c r="V10" s="35"/>
      <c r="W10" s="35"/>
      <c r="X10" s="35"/>
      <c r="Y10" s="35"/>
      <c r="Z10" s="35"/>
      <c r="AA10" s="35">
        <v>500</v>
      </c>
      <c r="AB10" s="36"/>
      <c r="AC10" s="35">
        <f t="shared" si="0"/>
        <v>20217.88</v>
      </c>
      <c r="AD10" s="35" t="s">
        <v>92</v>
      </c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>
        <f>1240-91.48</f>
        <v>1148.52</v>
      </c>
      <c r="S11" s="35">
        <f>108+461-1.97-6.31</f>
        <v>560.72</v>
      </c>
      <c r="T11" s="35"/>
      <c r="U11" s="35"/>
      <c r="V11" s="35"/>
      <c r="W11" s="35"/>
      <c r="X11" s="35"/>
      <c r="Y11" s="35"/>
      <c r="Z11" s="35"/>
      <c r="AA11" s="35">
        <f>1640+440-7.21</f>
        <v>2072.79</v>
      </c>
      <c r="AB11" s="36"/>
      <c r="AC11" s="35">
        <f t="shared" si="0"/>
        <v>3782.0299999999997</v>
      </c>
      <c r="AD11" s="35" t="s">
        <v>93</v>
      </c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>
        <f>385-7.56</f>
        <v>377.44</v>
      </c>
      <c r="S12" s="35"/>
      <c r="T12" s="35"/>
      <c r="U12" s="35"/>
      <c r="V12" s="35"/>
      <c r="W12" s="35">
        <v>500</v>
      </c>
      <c r="X12" s="35"/>
      <c r="Y12" s="35"/>
      <c r="Z12" s="35"/>
      <c r="AA12" s="35"/>
      <c r="AB12" s="36"/>
      <c r="AC12" s="35">
        <f t="shared" si="0"/>
        <v>877.44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>
        <v>15751.26</v>
      </c>
      <c r="E15" s="35"/>
      <c r="F15" s="35">
        <v>7454</v>
      </c>
      <c r="G15" s="35"/>
      <c r="H15" s="35"/>
      <c r="I15" s="35"/>
      <c r="J15" s="35"/>
      <c r="K15" s="35"/>
      <c r="L15" s="35"/>
      <c r="M15" s="35"/>
      <c r="N15" s="35"/>
      <c r="O15" s="35"/>
      <c r="P15" s="35">
        <v>1800</v>
      </c>
      <c r="Q15" s="35"/>
      <c r="R15" s="35">
        <f>280+673+382-11.03-6.26-4.59</f>
        <v>1313.1200000000001</v>
      </c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26318.38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>
        <f>IF(COUNTA(B2:B32)&gt;0,SUM(B2:B32),"")</f>
        <v>27138.14</v>
      </c>
      <c r="C33" s="12">
        <f t="shared" ref="C33:AC33" si="1">IF(COUNTA(C2:C32)&gt;0,SUM(C2:C32),"")</f>
        <v>0</v>
      </c>
      <c r="D33" s="12">
        <f t="shared" si="1"/>
        <v>15751.26</v>
      </c>
      <c r="E33" s="12">
        <f t="shared" si="1"/>
        <v>0</v>
      </c>
      <c r="F33" s="12">
        <f t="shared" si="1"/>
        <v>25901</v>
      </c>
      <c r="G33" s="12">
        <f t="shared" si="1"/>
        <v>998.36</v>
      </c>
      <c r="H33" s="12">
        <f t="shared" si="1"/>
        <v>3291.56</v>
      </c>
      <c r="I33" s="12">
        <f t="shared" si="1"/>
        <v>3274.43</v>
      </c>
      <c r="J33" s="12">
        <f t="shared" si="1"/>
        <v>700</v>
      </c>
      <c r="K33" s="12">
        <f t="shared" si="1"/>
        <v>26737.25</v>
      </c>
      <c r="L33" s="12">
        <f t="shared" si="1"/>
        <v>17990.03</v>
      </c>
      <c r="M33" s="12" t="str">
        <f t="shared" si="1"/>
        <v/>
      </c>
      <c r="N33" s="12">
        <f t="shared" si="1"/>
        <v>810</v>
      </c>
      <c r="O33" s="12">
        <f t="shared" si="1"/>
        <v>491.81</v>
      </c>
      <c r="P33" s="12">
        <f t="shared" si="1"/>
        <v>1800</v>
      </c>
      <c r="Q33" s="12" t="str">
        <f t="shared" si="1"/>
        <v/>
      </c>
      <c r="R33" s="12">
        <f t="shared" si="1"/>
        <v>10926.310000000001</v>
      </c>
      <c r="S33" s="12">
        <f t="shared" si="1"/>
        <v>560.72</v>
      </c>
      <c r="T33" s="12">
        <f t="shared" si="1"/>
        <v>1534.43</v>
      </c>
      <c r="U33" s="12">
        <f t="shared" si="1"/>
        <v>0</v>
      </c>
      <c r="V33" s="12" t="str">
        <f t="shared" si="1"/>
        <v/>
      </c>
      <c r="W33" s="12">
        <f t="shared" si="1"/>
        <v>500</v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>
        <f t="shared" si="1"/>
        <v>5072.79</v>
      </c>
      <c r="AB33" s="38" t="str">
        <f t="shared" si="1"/>
        <v/>
      </c>
      <c r="AC33" s="12">
        <f t="shared" si="1"/>
        <v>143478.09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2026-10-15T13:36:39Z</dcterms:modified>
  <dc:language>en-US</dc:language>
</cp:coreProperties>
</file>