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B17BD53A-37B7-4520-A69C-2F251DC2453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" i="3" l="1"/>
  <c r="H3" i="3"/>
  <c r="R3" i="3"/>
  <c r="K33" i="9"/>
  <c r="K32" i="8"/>
  <c r="K33" i="7"/>
  <c r="K32" i="6"/>
  <c r="L32" i="6"/>
  <c r="K33" i="5"/>
  <c r="L33" i="5"/>
  <c r="J33" i="4"/>
  <c r="K33" i="4"/>
  <c r="L33" i="4"/>
  <c r="M33" i="4"/>
  <c r="N33" i="4"/>
  <c r="K32" i="3"/>
  <c r="L32" i="3"/>
  <c r="K6" i="1"/>
  <c r="K7" i="1"/>
  <c r="K8" i="1"/>
  <c r="K9" i="1"/>
  <c r="K10" i="1"/>
  <c r="K5" i="1"/>
  <c r="K14" i="1"/>
  <c r="K25" i="1"/>
  <c r="K33" i="2"/>
  <c r="R2" i="3"/>
  <c r="R32" i="3" s="1"/>
  <c r="R15" i="1" s="1"/>
  <c r="AA2" i="3"/>
  <c r="R30" i="2"/>
  <c r="R29" i="2"/>
  <c r="R28" i="2"/>
  <c r="Y27" i="2"/>
  <c r="Y33" i="2" s="1"/>
  <c r="R27" i="2"/>
  <c r="AB27" i="2" s="1"/>
  <c r="R26" i="2"/>
  <c r="AB26" i="2" s="1"/>
  <c r="R25" i="2"/>
  <c r="AB25" i="2" s="1"/>
  <c r="W25" i="2"/>
  <c r="AA25" i="2"/>
  <c r="Z4" i="1"/>
  <c r="AB4" i="1" s="1"/>
  <c r="R23" i="2"/>
  <c r="R22" i="2"/>
  <c r="R21" i="2"/>
  <c r="AA20" i="2"/>
  <c r="R20" i="2"/>
  <c r="R33" i="2" s="1"/>
  <c r="R19" i="2"/>
  <c r="AB19" i="2" s="1"/>
  <c r="R17" i="2"/>
  <c r="AB17" i="2" s="1"/>
  <c r="R16" i="2"/>
  <c r="AB16" i="2" s="1"/>
  <c r="U14" i="2"/>
  <c r="Q14" i="2"/>
  <c r="AB14" i="2" s="1"/>
  <c r="U13" i="2"/>
  <c r="R13" i="2"/>
  <c r="W13" i="2"/>
  <c r="R12" i="2"/>
  <c r="R11" i="2"/>
  <c r="O9" i="2"/>
  <c r="T10" i="2"/>
  <c r="T11" i="2"/>
  <c r="AA9" i="2"/>
  <c r="R9" i="2"/>
  <c r="R8" i="2"/>
  <c r="X8" i="2"/>
  <c r="AB8" i="2" s="1"/>
  <c r="C53" i="1"/>
  <c r="L38" i="1"/>
  <c r="L7" i="2"/>
  <c r="I7" i="2"/>
  <c r="H7" i="2"/>
  <c r="AA33" i="9"/>
  <c r="AA21" i="1" s="1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B32" i="9"/>
  <c r="AB31" i="9"/>
  <c r="AB30" i="9"/>
  <c r="AB29" i="9"/>
  <c r="AB28" i="9"/>
  <c r="AB27" i="9"/>
  <c r="AB26" i="9"/>
  <c r="AB25" i="9"/>
  <c r="AB24" i="9"/>
  <c r="AB23" i="9"/>
  <c r="AB22" i="9"/>
  <c r="AB21" i="9"/>
  <c r="AB20" i="9"/>
  <c r="AB19" i="9"/>
  <c r="AB18" i="9"/>
  <c r="AB17" i="9"/>
  <c r="AB16" i="9"/>
  <c r="AB15" i="9"/>
  <c r="AB14" i="9"/>
  <c r="AB13" i="9"/>
  <c r="AB12" i="9"/>
  <c r="AB11" i="9"/>
  <c r="AB10" i="9"/>
  <c r="AB9" i="9"/>
  <c r="AB8" i="9"/>
  <c r="AB7" i="9"/>
  <c r="AB6" i="9"/>
  <c r="AB5" i="9"/>
  <c r="AB4" i="9"/>
  <c r="AB3" i="9"/>
  <c r="AB2" i="9"/>
  <c r="AA32" i="8"/>
  <c r="AA20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B31" i="8"/>
  <c r="AB30" i="8"/>
  <c r="AB29" i="8"/>
  <c r="AB28" i="8"/>
  <c r="AB27" i="8"/>
  <c r="AB26" i="8"/>
  <c r="AB25" i="8"/>
  <c r="AB24" i="8"/>
  <c r="AB23" i="8"/>
  <c r="AB22" i="8"/>
  <c r="AB21" i="8"/>
  <c r="AB20" i="8"/>
  <c r="AB19" i="8"/>
  <c r="AB18" i="8"/>
  <c r="AB17" i="8"/>
  <c r="AB16" i="8"/>
  <c r="AB15" i="8"/>
  <c r="AB14" i="8"/>
  <c r="AB13" i="8"/>
  <c r="AB12" i="8"/>
  <c r="AB11" i="8"/>
  <c r="AB10" i="8"/>
  <c r="AB9" i="8"/>
  <c r="AB8" i="8"/>
  <c r="AB7" i="8"/>
  <c r="AB6" i="8"/>
  <c r="AB5" i="8"/>
  <c r="AB4" i="8"/>
  <c r="AB3" i="8"/>
  <c r="AB2" i="8"/>
  <c r="AA33" i="7"/>
  <c r="AA19" i="1" s="1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AA32" i="6"/>
  <c r="AA18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18" i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B31" i="6"/>
  <c r="AB30" i="6"/>
  <c r="AB29" i="6"/>
  <c r="AB28" i="6"/>
  <c r="AB27" i="6"/>
  <c r="AB26" i="6"/>
  <c r="AB25" i="6"/>
  <c r="AB24" i="6"/>
  <c r="AB23" i="6"/>
  <c r="AB22" i="6"/>
  <c r="AB21" i="6"/>
  <c r="AB20" i="6"/>
  <c r="AB19" i="6"/>
  <c r="AB18" i="6"/>
  <c r="AB17" i="6"/>
  <c r="AB16" i="6"/>
  <c r="AB15" i="6"/>
  <c r="AB14" i="6"/>
  <c r="AB13" i="6"/>
  <c r="AB12" i="6"/>
  <c r="AB11" i="6"/>
  <c r="AB10" i="6"/>
  <c r="AB9" i="6"/>
  <c r="AB8" i="6"/>
  <c r="AB7" i="6"/>
  <c r="AB6" i="6"/>
  <c r="AB5" i="6"/>
  <c r="AB4" i="6"/>
  <c r="AB3" i="6"/>
  <c r="AB2" i="6"/>
  <c r="AA33" i="5"/>
  <c r="AA17" i="1" s="1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17" i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B32" i="5"/>
  <c r="AB31" i="5"/>
  <c r="AB30" i="5"/>
  <c r="AB29" i="5"/>
  <c r="AB28" i="5"/>
  <c r="AB27" i="5"/>
  <c r="AB26" i="5"/>
  <c r="AB25" i="5"/>
  <c r="AB24" i="5"/>
  <c r="AB23" i="5"/>
  <c r="AB22" i="5"/>
  <c r="AB21" i="5"/>
  <c r="AB20" i="5"/>
  <c r="AB19" i="5"/>
  <c r="AB18" i="5"/>
  <c r="AB17" i="5"/>
  <c r="AB16" i="5"/>
  <c r="AB15" i="5"/>
  <c r="AB14" i="5"/>
  <c r="AB13" i="5"/>
  <c r="AB12" i="5"/>
  <c r="AB11" i="5"/>
  <c r="AB10" i="5"/>
  <c r="AB9" i="5"/>
  <c r="AB8" i="5"/>
  <c r="AB7" i="5"/>
  <c r="AB6" i="5"/>
  <c r="AB5" i="5"/>
  <c r="AB4" i="5"/>
  <c r="AB3" i="5"/>
  <c r="AB2" i="5"/>
  <c r="AA33" i="4"/>
  <c r="AA16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16" i="1"/>
  <c r="M16" i="1"/>
  <c r="L16" i="1"/>
  <c r="J16" i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B32" i="4"/>
  <c r="AB31" i="4"/>
  <c r="AB30" i="4"/>
  <c r="AB29" i="4"/>
  <c r="AB28" i="4"/>
  <c r="AB27" i="4"/>
  <c r="AB26" i="4"/>
  <c r="AB25" i="4"/>
  <c r="AB24" i="4"/>
  <c r="AB23" i="4"/>
  <c r="AB22" i="4"/>
  <c r="AB21" i="4"/>
  <c r="AB20" i="4"/>
  <c r="AB19" i="4"/>
  <c r="AB18" i="4"/>
  <c r="AB17" i="4"/>
  <c r="AB16" i="4"/>
  <c r="AB15" i="4"/>
  <c r="AB14" i="4"/>
  <c r="AB13" i="4"/>
  <c r="AB12" i="4"/>
  <c r="AB11" i="4"/>
  <c r="AB10" i="4"/>
  <c r="AB9" i="4"/>
  <c r="AB8" i="4"/>
  <c r="AB7" i="4"/>
  <c r="AB6" i="4"/>
  <c r="AB5" i="4"/>
  <c r="AB4" i="4"/>
  <c r="AB3" i="4"/>
  <c r="AB2" i="4"/>
  <c r="AA32" i="3"/>
  <c r="AA15" i="1" s="1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Q32" i="3"/>
  <c r="Q15" i="1" s="1"/>
  <c r="P32" i="3"/>
  <c r="P15" i="1" s="1"/>
  <c r="O32" i="3"/>
  <c r="O15" i="1" s="1"/>
  <c r="N32" i="3"/>
  <c r="N15" i="1" s="1"/>
  <c r="M32" i="3"/>
  <c r="M15" i="1" s="1"/>
  <c r="L15" i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B31" i="3"/>
  <c r="AB30" i="3"/>
  <c r="AB29" i="3"/>
  <c r="AB28" i="3"/>
  <c r="AB27" i="3"/>
  <c r="AB26" i="3"/>
  <c r="AB25" i="3"/>
  <c r="AB24" i="3"/>
  <c r="AB23" i="3"/>
  <c r="AB22" i="3"/>
  <c r="AB21" i="3"/>
  <c r="AB20" i="3"/>
  <c r="AB19" i="3"/>
  <c r="AB18" i="3"/>
  <c r="AB17" i="3"/>
  <c r="AB16" i="3"/>
  <c r="AB15" i="3"/>
  <c r="AB14" i="3"/>
  <c r="AB13" i="3"/>
  <c r="AB12" i="3"/>
  <c r="AB11" i="3"/>
  <c r="AB10" i="3"/>
  <c r="AB9" i="3"/>
  <c r="AB8" i="3"/>
  <c r="AB7" i="3"/>
  <c r="AB6" i="3"/>
  <c r="AB5" i="3"/>
  <c r="AB4" i="3"/>
  <c r="AB3" i="3"/>
  <c r="AA32" i="1"/>
  <c r="Z32" i="1"/>
  <c r="Y32" i="1"/>
  <c r="X32" i="1"/>
  <c r="W32" i="1"/>
  <c r="V32" i="1"/>
  <c r="U32" i="1"/>
  <c r="T32" i="1"/>
  <c r="P32" i="1"/>
  <c r="O32" i="1"/>
  <c r="N32" i="1"/>
  <c r="M32" i="1"/>
  <c r="L32" i="1"/>
  <c r="J32" i="1"/>
  <c r="I32" i="1"/>
  <c r="H32" i="1"/>
  <c r="G32" i="1"/>
  <c r="C32" i="1"/>
  <c r="B32" i="1"/>
  <c r="W31" i="1"/>
  <c r="V31" i="1"/>
  <c r="U31" i="1"/>
  <c r="T31" i="1"/>
  <c r="S31" i="1"/>
  <c r="J31" i="1"/>
  <c r="I31" i="1"/>
  <c r="H31" i="1"/>
  <c r="G31" i="1"/>
  <c r="F31" i="1"/>
  <c r="AA30" i="1"/>
  <c r="Z30" i="1"/>
  <c r="Y30" i="1"/>
  <c r="X30" i="1"/>
  <c r="W30" i="1"/>
  <c r="V30" i="1"/>
  <c r="U30" i="1"/>
  <c r="T30" i="1"/>
  <c r="Q30" i="1"/>
  <c r="P30" i="1"/>
  <c r="O30" i="1"/>
  <c r="N30" i="1"/>
  <c r="M30" i="1"/>
  <c r="L30" i="1"/>
  <c r="J30" i="1"/>
  <c r="I30" i="1"/>
  <c r="H30" i="1"/>
  <c r="G30" i="1"/>
  <c r="D30" i="1"/>
  <c r="C30" i="1"/>
  <c r="B30" i="1"/>
  <c r="W29" i="1"/>
  <c r="V29" i="1"/>
  <c r="U29" i="1"/>
  <c r="T29" i="1"/>
  <c r="S29" i="1"/>
  <c r="R29" i="1"/>
  <c r="I29" i="1"/>
  <c r="H29" i="1"/>
  <c r="G29" i="1"/>
  <c r="F29" i="1"/>
  <c r="AA28" i="1"/>
  <c r="Z28" i="1"/>
  <c r="X28" i="1"/>
  <c r="P28" i="1"/>
  <c r="O28" i="1"/>
  <c r="N28" i="1"/>
  <c r="L28" i="1"/>
  <c r="C28" i="1"/>
  <c r="B28" i="1"/>
  <c r="AA27" i="1"/>
  <c r="Z27" i="1"/>
  <c r="Y27" i="1"/>
  <c r="X27" i="1"/>
  <c r="W27" i="1"/>
  <c r="V27" i="1"/>
  <c r="S27" i="1"/>
  <c r="R27" i="1"/>
  <c r="P27" i="1"/>
  <c r="O27" i="1"/>
  <c r="N27" i="1"/>
  <c r="M27" i="1"/>
  <c r="L27" i="1"/>
  <c r="J27" i="1"/>
  <c r="I27" i="1"/>
  <c r="F27" i="1"/>
  <c r="E27" i="1"/>
  <c r="C27" i="1"/>
  <c r="B27" i="1"/>
  <c r="X26" i="1"/>
  <c r="W26" i="1"/>
  <c r="V26" i="1"/>
  <c r="U26" i="1"/>
  <c r="L26" i="1"/>
  <c r="J26" i="1"/>
  <c r="F26" i="1"/>
  <c r="E26" i="1"/>
  <c r="AB10" i="1"/>
  <c r="AB9" i="1"/>
  <c r="AB8" i="1"/>
  <c r="AB7" i="1"/>
  <c r="AB6" i="1"/>
  <c r="AB5" i="1"/>
  <c r="AB3" i="1"/>
  <c r="AG3" i="1" s="1"/>
  <c r="AA33" i="2"/>
  <c r="Z33" i="2"/>
  <c r="V33" i="2"/>
  <c r="T33" i="2"/>
  <c r="S33" i="2"/>
  <c r="Q33" i="2"/>
  <c r="P33" i="2"/>
  <c r="O33" i="2"/>
  <c r="N33" i="2"/>
  <c r="M33" i="2"/>
  <c r="L33" i="2"/>
  <c r="J33" i="2"/>
  <c r="I33" i="2"/>
  <c r="H33" i="2"/>
  <c r="G33" i="2"/>
  <c r="F33" i="2"/>
  <c r="E33" i="2"/>
  <c r="D33" i="2"/>
  <c r="C33" i="2"/>
  <c r="B33" i="2"/>
  <c r="AB32" i="2"/>
  <c r="AB31" i="2"/>
  <c r="AB30" i="2"/>
  <c r="AB29" i="2"/>
  <c r="AB28" i="2"/>
  <c r="AB24" i="2"/>
  <c r="AB23" i="2"/>
  <c r="AB22" i="2"/>
  <c r="AB21" i="2"/>
  <c r="AB20" i="2"/>
  <c r="AB18" i="2"/>
  <c r="AB15" i="2"/>
  <c r="AB12" i="2"/>
  <c r="AB11" i="2"/>
  <c r="AB10" i="2"/>
  <c r="AB9" i="2"/>
  <c r="AB7" i="2"/>
  <c r="AB6" i="2"/>
  <c r="AB5" i="2"/>
  <c r="AB4" i="2"/>
  <c r="AB3" i="2"/>
  <c r="AB2" i="2"/>
  <c r="I26" i="1" l="1"/>
  <c r="H26" i="1"/>
  <c r="AB33" i="9"/>
  <c r="AB21" i="1" s="1"/>
  <c r="D32" i="1"/>
  <c r="Q32" i="1"/>
  <c r="E32" i="1"/>
  <c r="R32" i="1"/>
  <c r="F32" i="1"/>
  <c r="S32" i="1"/>
  <c r="B31" i="1"/>
  <c r="O31" i="1"/>
  <c r="AA31" i="1"/>
  <c r="N31" i="1"/>
  <c r="AB32" i="8"/>
  <c r="AB20" i="1" s="1"/>
  <c r="C31" i="1"/>
  <c r="P31" i="1"/>
  <c r="Y31" i="1"/>
  <c r="D31" i="1"/>
  <c r="Q31" i="1"/>
  <c r="L31" i="1"/>
  <c r="AB31" i="1" s="1"/>
  <c r="M31" i="1"/>
  <c r="E31" i="1"/>
  <c r="R31" i="1"/>
  <c r="X31" i="1"/>
  <c r="Z31" i="1"/>
  <c r="AB33" i="7"/>
  <c r="AB19" i="1" s="1"/>
  <c r="E30" i="1"/>
  <c r="AB30" i="1" s="1"/>
  <c r="R30" i="1"/>
  <c r="F30" i="1"/>
  <c r="S30" i="1"/>
  <c r="Y29" i="1"/>
  <c r="AB32" i="6"/>
  <c r="AB18" i="1" s="1"/>
  <c r="O29" i="1"/>
  <c r="AA29" i="1"/>
  <c r="X29" i="1"/>
  <c r="M29" i="1"/>
  <c r="N29" i="1"/>
  <c r="P29" i="1"/>
  <c r="J29" i="1"/>
  <c r="L29" i="1"/>
  <c r="Z29" i="1"/>
  <c r="Q29" i="1"/>
  <c r="H28" i="1"/>
  <c r="U28" i="1"/>
  <c r="Q28" i="1"/>
  <c r="E28" i="1"/>
  <c r="S28" i="1"/>
  <c r="I28" i="1"/>
  <c r="J28" i="1"/>
  <c r="W28" i="1"/>
  <c r="D28" i="1"/>
  <c r="AB33" i="5"/>
  <c r="AB17" i="1" s="1"/>
  <c r="R28" i="1"/>
  <c r="G28" i="1"/>
  <c r="AB28" i="1" s="1"/>
  <c r="V28" i="1"/>
  <c r="F28" i="1"/>
  <c r="T28" i="1"/>
  <c r="M28" i="1"/>
  <c r="Y28" i="1"/>
  <c r="D27" i="1"/>
  <c r="Q27" i="1"/>
  <c r="AB33" i="4"/>
  <c r="AB16" i="1" s="1"/>
  <c r="G27" i="1"/>
  <c r="AB27" i="1" s="1"/>
  <c r="T27" i="1"/>
  <c r="H27" i="1"/>
  <c r="U27" i="1"/>
  <c r="AB2" i="3"/>
  <c r="Y26" i="1"/>
  <c r="B26" i="1"/>
  <c r="P26" i="1"/>
  <c r="N26" i="1"/>
  <c r="O26" i="1"/>
  <c r="C26" i="1"/>
  <c r="AB26" i="1" s="1"/>
  <c r="Q26" i="1"/>
  <c r="Z26" i="1"/>
  <c r="M26" i="1"/>
  <c r="D26" i="1"/>
  <c r="T26" i="1"/>
  <c r="X33" i="2"/>
  <c r="W33" i="2"/>
  <c r="AA26" i="1"/>
  <c r="AB32" i="3"/>
  <c r="AB15" i="1" s="1"/>
  <c r="G26" i="1"/>
  <c r="R26" i="1"/>
  <c r="S26" i="1"/>
  <c r="U33" i="2"/>
  <c r="AB13" i="2"/>
  <c r="AB33" i="2" s="1"/>
  <c r="AB14" i="1" s="1"/>
  <c r="AB32" i="1"/>
  <c r="C54" i="1"/>
  <c r="L39" i="1"/>
  <c r="N38" i="1"/>
  <c r="M38" i="1"/>
  <c r="AA14" i="1"/>
  <c r="AA25" i="1"/>
  <c r="AA33" i="1" s="1"/>
  <c r="Z14" i="1"/>
  <c r="Z25" i="1"/>
  <c r="Y14" i="1"/>
  <c r="Y25" i="1"/>
  <c r="X14" i="1"/>
  <c r="X25" i="1"/>
  <c r="X33" i="1" s="1"/>
  <c r="W14" i="1"/>
  <c r="W25" i="1"/>
  <c r="V14" i="1"/>
  <c r="V25" i="1"/>
  <c r="V33" i="1" s="1"/>
  <c r="T14" i="1"/>
  <c r="T25" i="1"/>
  <c r="S14" i="1"/>
  <c r="S25" i="1"/>
  <c r="S33" i="1" s="1"/>
  <c r="R14" i="1"/>
  <c r="R25" i="1"/>
  <c r="Q14" i="1"/>
  <c r="Q25" i="1"/>
  <c r="P14" i="1"/>
  <c r="P25" i="1"/>
  <c r="O14" i="1"/>
  <c r="O25" i="1"/>
  <c r="O33" i="1" s="1"/>
  <c r="N14" i="1"/>
  <c r="N25" i="1"/>
  <c r="M14" i="1"/>
  <c r="M25" i="1"/>
  <c r="L14" i="1"/>
  <c r="L25" i="1"/>
  <c r="J14" i="1"/>
  <c r="J25" i="1"/>
  <c r="I14" i="1"/>
  <c r="I25" i="1"/>
  <c r="H14" i="1"/>
  <c r="H25" i="1"/>
  <c r="G14" i="1"/>
  <c r="G25" i="1"/>
  <c r="F14" i="1"/>
  <c r="F25" i="1"/>
  <c r="E14" i="1"/>
  <c r="E25" i="1"/>
  <c r="E29" i="1"/>
  <c r="E18" i="1"/>
  <c r="D18" i="1"/>
  <c r="D29" i="1"/>
  <c r="C18" i="1"/>
  <c r="C29" i="1"/>
  <c r="B18" i="1"/>
  <c r="B29" i="1"/>
  <c r="AC10" i="1"/>
  <c r="AE10" i="1" s="1"/>
  <c r="AH10" i="1"/>
  <c r="AG10" i="1"/>
  <c r="AH9" i="1"/>
  <c r="AG9" i="1"/>
  <c r="AC9" i="1"/>
  <c r="AE9" i="1" s="1"/>
  <c r="AH8" i="1"/>
  <c r="AG8" i="1"/>
  <c r="AC8" i="1"/>
  <c r="AE8" i="1" s="1"/>
  <c r="AC7" i="1"/>
  <c r="AE7" i="1" s="1"/>
  <c r="AG7" i="1"/>
  <c r="AH7" i="1"/>
  <c r="AH6" i="1"/>
  <c r="AG6" i="1"/>
  <c r="AI6" i="1" s="1"/>
  <c r="AC6" i="1"/>
  <c r="AE6" i="1" s="1"/>
  <c r="AH5" i="1"/>
  <c r="AG5" i="1"/>
  <c r="AC5" i="1"/>
  <c r="AE5" i="1" s="1"/>
  <c r="AH4" i="1"/>
  <c r="AG4" i="1"/>
  <c r="AC4" i="1"/>
  <c r="AE4" i="1" s="1"/>
  <c r="AH3" i="1"/>
  <c r="AC3" i="1"/>
  <c r="AE3" i="1" s="1"/>
  <c r="D25" i="1"/>
  <c r="D14" i="1"/>
  <c r="C14" i="1"/>
  <c r="C25" i="1"/>
  <c r="C33" i="1" s="1"/>
  <c r="B25" i="1"/>
  <c r="B14" i="1"/>
  <c r="M33" i="1" l="1"/>
  <c r="L33" i="1"/>
  <c r="F33" i="1"/>
  <c r="Z33" i="1"/>
  <c r="N33" i="1"/>
  <c r="W33" i="1"/>
  <c r="I33" i="1"/>
  <c r="J33" i="1"/>
  <c r="G33" i="1"/>
  <c r="H33" i="1"/>
  <c r="D33" i="1"/>
  <c r="T33" i="1"/>
  <c r="P33" i="1"/>
  <c r="Q33" i="1"/>
  <c r="R33" i="1"/>
  <c r="Y33" i="1"/>
  <c r="AI5" i="1"/>
  <c r="AI8" i="1"/>
  <c r="AB29" i="1"/>
  <c r="U25" i="1"/>
  <c r="U33" i="1" s="1"/>
  <c r="U14" i="1"/>
  <c r="AI4" i="1"/>
  <c r="AI7" i="1"/>
  <c r="E33" i="1"/>
  <c r="B33" i="1"/>
  <c r="AB25" i="1"/>
  <c r="AI10" i="1"/>
  <c r="AI3" i="1"/>
  <c r="AI9" i="1"/>
  <c r="AB33" i="1" l="1"/>
</calcChain>
</file>

<file path=xl/sharedStrings.xml><?xml version="1.0" encoding="utf-8"?>
<sst xmlns="http://schemas.openxmlformats.org/spreadsheetml/2006/main" count="387" uniqueCount="72">
  <si>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</si>
  <si>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</si>
  <si>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</si>
  <si>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</si>
  <si>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</si>
  <si>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</si>
  <si>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</si>
  <si>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</si>
  <si>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</si>
  <si>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</si>
  <si>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</si>
  <si>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</si>
  <si>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</si>
  <si>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</si>
  <si>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</si>
  <si>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</si>
  <si>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</si>
  <si>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</si>
  <si>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</si>
  <si>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</si>
  <si>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</si>
  <si>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</si>
  <si>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</si>
  <si>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</si>
  <si>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</si>
  <si>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</si>
  <si>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</si>
  <si>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</si>
  <si>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</si>
  <si>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</si>
  <si>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</si>
  <si>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</si>
  <si>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</si>
  <si>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</si>
  <si>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</si>
  <si>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</si>
  <si>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</si>
  <si>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</si>
  <si>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</si>
  <si>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</si>
  <si>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</si>
  <si>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</si>
  <si>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</si>
  <si>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</si>
  <si>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</si>
  <si>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</si>
  <si>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</si>
  <si>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</si>
  <si>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</si>
  <si>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</si>
  <si>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</si>
  <si>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</si>
  <si>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</si>
  <si>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</si>
  <si>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</si>
  <si>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</si>
  <si>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</si>
  <si>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</si>
  <si>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</si>
  <si>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</si>
  <si>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</si>
  <si>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</si>
  <si>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</si>
  <si>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</si>
  <si>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</si>
  <si>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</si>
  <si>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</si>
  <si>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</si>
  <si>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</si>
  <si>
    <t>Pantalones Roci</t>
  </si>
  <si>
    <t>Biogrip</t>
  </si>
  <si>
    <t>Tarjeta CDE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</si>
</sst>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4"/>
  <sheetViews>
    <sheetView tabSelected="1" topLeftCell="A13" zoomScaleNormal="100" workbookViewId="0">
      <selection activeCell="I27" sqref="I27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bestFit="1" customWidth="1"/>
    <col min="27" max="27" width="9.140625" style="1"/>
    <col min="28" max="28" width="12" style="1" customWidth="1"/>
    <col min="29" max="16384" width="9.140625" style="1"/>
  </cols>
  <sheetData>
    <row r="1" spans="1:35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</row>
    <row r="2" spans="1:35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71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67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2" t="s">
        <v>32</v>
      </c>
      <c r="AH2" s="3" t="s">
        <v>33</v>
      </c>
      <c r="AI2" s="4" t="s">
        <v>34</v>
      </c>
    </row>
    <row r="3" spans="1:35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1">
        <f t="shared" ref="AB3:AB10" si="0">SUM(B3:AA3)</f>
        <v>170650</v>
      </c>
      <c r="AC3" s="5">
        <f t="shared" ref="AC3:AC10" si="1">+AB3/2</f>
        <v>85325</v>
      </c>
      <c r="AD3" s="1">
        <v>10000</v>
      </c>
      <c r="AE3" s="5">
        <f t="shared" ref="AE3:AE10" si="2">+AF3-AC3-AD3</f>
        <v>-325</v>
      </c>
      <c r="AF3" s="1">
        <v>95000</v>
      </c>
      <c r="AG3" s="6">
        <f>AB3/2-M3</f>
        <v>63125</v>
      </c>
      <c r="AH3" s="7">
        <f t="shared" ref="AH3:AH10" si="3">AB3/2-D3</f>
        <v>69825</v>
      </c>
      <c r="AI3" s="8">
        <f t="shared" ref="AI3:AI10" si="4">AG3+AH3</f>
        <v>132950</v>
      </c>
    </row>
    <row r="4" spans="1:35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10000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1">
        <f t="shared" si="0"/>
        <v>147400</v>
      </c>
      <c r="AC4" s="5">
        <f t="shared" si="1"/>
        <v>73700</v>
      </c>
      <c r="AD4" s="1">
        <v>10000</v>
      </c>
      <c r="AE4" s="5">
        <f t="shared" si="2"/>
        <v>11300</v>
      </c>
      <c r="AF4" s="1">
        <v>95000</v>
      </c>
      <c r="AG4" s="6">
        <f t="shared" ref="AG4:AG10" si="5">AB4/2-M4</f>
        <v>65700</v>
      </c>
      <c r="AH4" s="7">
        <f t="shared" si="3"/>
        <v>58200</v>
      </c>
      <c r="AI4" s="8">
        <f t="shared" si="4"/>
        <v>123900</v>
      </c>
    </row>
    <row r="5" spans="1:35" ht="15" customHeight="1" x14ac:dyDescent="0.25">
      <c r="A5" s="1" t="s">
        <v>37</v>
      </c>
      <c r="C5" s="1">
        <v>4369</v>
      </c>
      <c r="D5" s="1">
        <v>15500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>1300+9800+6000</f>
        <v>17100</v>
      </c>
      <c r="L5" s="1">
        <v>7500</v>
      </c>
      <c r="M5" s="1">
        <v>7500</v>
      </c>
      <c r="N5" s="1">
        <v>850</v>
      </c>
      <c r="O5" s="1">
        <v>4000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1">
        <f t="shared" si="0"/>
        <v>136219</v>
      </c>
      <c r="AC5" s="5">
        <f t="shared" si="1"/>
        <v>68109.5</v>
      </c>
      <c r="AD5" s="1">
        <v>10000</v>
      </c>
      <c r="AE5" s="5">
        <f t="shared" si="2"/>
        <v>16890.5</v>
      </c>
      <c r="AF5" s="1">
        <v>95000</v>
      </c>
      <c r="AG5" s="6">
        <f t="shared" si="5"/>
        <v>60609.5</v>
      </c>
      <c r="AH5" s="7">
        <f t="shared" si="3"/>
        <v>52609.5</v>
      </c>
      <c r="AI5" s="8">
        <f t="shared" si="4"/>
        <v>113219</v>
      </c>
    </row>
    <row r="6" spans="1:35" ht="15" customHeight="1" x14ac:dyDescent="0.25">
      <c r="A6" s="1" t="s">
        <v>38</v>
      </c>
      <c r="D6" s="1">
        <v>15500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ref="K6:K10" si="6">1300+9800+6000</f>
        <v>17100</v>
      </c>
      <c r="L6" s="1">
        <v>7500</v>
      </c>
      <c r="M6" s="1">
        <v>7500</v>
      </c>
      <c r="N6" s="1">
        <v>850</v>
      </c>
      <c r="O6" s="1">
        <v>4000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1">
        <f t="shared" si="0"/>
        <v>130350</v>
      </c>
      <c r="AC6" s="5">
        <f t="shared" si="1"/>
        <v>65175</v>
      </c>
      <c r="AD6" s="1">
        <v>10000</v>
      </c>
      <c r="AE6" s="5">
        <f t="shared" si="2"/>
        <v>19825</v>
      </c>
      <c r="AF6" s="1">
        <v>95000</v>
      </c>
      <c r="AG6" s="6">
        <f t="shared" si="5"/>
        <v>57675</v>
      </c>
      <c r="AH6" s="7">
        <f t="shared" si="3"/>
        <v>49675</v>
      </c>
      <c r="AI6" s="8">
        <f t="shared" si="4"/>
        <v>107350</v>
      </c>
    </row>
    <row r="7" spans="1:35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17100</v>
      </c>
      <c r="L7" s="1">
        <v>7500</v>
      </c>
      <c r="M7" s="1">
        <v>7500</v>
      </c>
      <c r="N7" s="1">
        <v>850</v>
      </c>
      <c r="O7" s="1">
        <v>4000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1">
        <f t="shared" si="0"/>
        <v>161069</v>
      </c>
      <c r="AC7" s="5">
        <f t="shared" si="1"/>
        <v>80534.5</v>
      </c>
      <c r="AD7" s="1">
        <v>10000</v>
      </c>
      <c r="AE7" s="5">
        <f t="shared" si="2"/>
        <v>4465.5</v>
      </c>
      <c r="AF7" s="1">
        <v>95000</v>
      </c>
      <c r="AG7" s="6">
        <f t="shared" si="5"/>
        <v>73034.5</v>
      </c>
      <c r="AH7" s="7">
        <f t="shared" si="3"/>
        <v>65034.5</v>
      </c>
      <c r="AI7" s="8">
        <f t="shared" si="4"/>
        <v>138069</v>
      </c>
    </row>
    <row r="8" spans="1:35" ht="15" customHeight="1" x14ac:dyDescent="0.25">
      <c r="A8" s="1" t="s">
        <v>40</v>
      </c>
      <c r="D8" s="1">
        <v>15500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17100</v>
      </c>
      <c r="L8" s="1">
        <v>7500</v>
      </c>
      <c r="M8" s="1">
        <v>7500</v>
      </c>
      <c r="N8" s="1">
        <v>850</v>
      </c>
      <c r="O8" s="1">
        <v>4000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1">
        <f t="shared" si="0"/>
        <v>145650</v>
      </c>
      <c r="AC8" s="5">
        <f t="shared" si="1"/>
        <v>72825</v>
      </c>
      <c r="AD8" s="1">
        <v>10000</v>
      </c>
      <c r="AE8" s="5">
        <f t="shared" si="2"/>
        <v>12175</v>
      </c>
      <c r="AF8" s="1">
        <v>95000</v>
      </c>
      <c r="AG8" s="6">
        <f t="shared" si="5"/>
        <v>65325</v>
      </c>
      <c r="AH8" s="7">
        <f t="shared" si="3"/>
        <v>57325</v>
      </c>
      <c r="AI8" s="8">
        <f t="shared" si="4"/>
        <v>122650</v>
      </c>
    </row>
    <row r="9" spans="1:35" ht="15" customHeight="1" x14ac:dyDescent="0.25">
      <c r="A9" s="1" t="s">
        <v>41</v>
      </c>
      <c r="C9" s="1">
        <v>4369</v>
      </c>
      <c r="D9" s="1">
        <v>15500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17100</v>
      </c>
      <c r="L9" s="1">
        <v>7500</v>
      </c>
      <c r="M9" s="1">
        <v>7500</v>
      </c>
      <c r="N9" s="1">
        <v>850</v>
      </c>
      <c r="O9" s="1">
        <v>4000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1">
        <f t="shared" si="0"/>
        <v>136519</v>
      </c>
      <c r="AC9" s="5">
        <f t="shared" si="1"/>
        <v>68259.5</v>
      </c>
      <c r="AD9" s="1">
        <v>10000</v>
      </c>
      <c r="AE9" s="5">
        <f t="shared" si="2"/>
        <v>16740.5</v>
      </c>
      <c r="AF9" s="1">
        <v>95000</v>
      </c>
      <c r="AG9" s="6">
        <f t="shared" si="5"/>
        <v>60759.5</v>
      </c>
      <c r="AH9" s="7">
        <f t="shared" si="3"/>
        <v>52759.5</v>
      </c>
      <c r="AI9" s="8">
        <f t="shared" si="4"/>
        <v>113519</v>
      </c>
    </row>
    <row r="10" spans="1:35" ht="15" customHeight="1" x14ac:dyDescent="0.25">
      <c r="A10" s="1" t="s">
        <v>42</v>
      </c>
      <c r="D10" s="1">
        <v>15500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17100</v>
      </c>
      <c r="L10" s="1">
        <v>7500</v>
      </c>
      <c r="M10" s="1">
        <v>7500</v>
      </c>
      <c r="N10" s="1">
        <v>850</v>
      </c>
      <c r="O10" s="1">
        <v>4000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1">
        <f t="shared" si="0"/>
        <v>152400</v>
      </c>
      <c r="AC10" s="5">
        <f t="shared" si="1"/>
        <v>76200</v>
      </c>
      <c r="AD10" s="1">
        <v>10000</v>
      </c>
      <c r="AE10" s="5">
        <f t="shared" si="2"/>
        <v>8800</v>
      </c>
      <c r="AF10" s="1">
        <v>95000</v>
      </c>
      <c r="AG10" s="6">
        <f t="shared" si="5"/>
        <v>68700</v>
      </c>
      <c r="AH10" s="7">
        <f t="shared" si="3"/>
        <v>60700</v>
      </c>
      <c r="AI10" s="8">
        <f t="shared" si="4"/>
        <v>129400</v>
      </c>
    </row>
    <row r="12" spans="1:35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</row>
    <row r="13" spans="1:35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71</v>
      </c>
      <c r="L13" s="1" t="s">
        <v>11</v>
      </c>
      <c r="M13" s="1" t="s">
        <v>12</v>
      </c>
      <c r="N13" s="1" t="s">
        <v>13</v>
      </c>
      <c r="O13" s="1" t="s">
        <v>14</v>
      </c>
      <c r="P13" s="1" t="s">
        <v>15</v>
      </c>
      <c r="Q13" s="1" t="s">
        <v>16</v>
      </c>
      <c r="R13" s="1" t="s">
        <v>17</v>
      </c>
      <c r="S13" s="1" t="s">
        <v>18</v>
      </c>
      <c r="T13" s="1" t="s">
        <v>19</v>
      </c>
      <c r="U13" s="1" t="s">
        <v>44</v>
      </c>
      <c r="V13" s="1" t="s">
        <v>21</v>
      </c>
      <c r="W13" s="1" t="s">
        <v>22</v>
      </c>
      <c r="X13" s="1" t="s">
        <v>45</v>
      </c>
      <c r="Y13" s="1" t="s">
        <v>24</v>
      </c>
      <c r="Z13" s="1" t="s">
        <v>67</v>
      </c>
      <c r="AA13" s="1" t="s">
        <v>26</v>
      </c>
      <c r="AB13" s="1" t="s">
        <v>27</v>
      </c>
    </row>
    <row r="14" spans="1:35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B14" s="1">
        <f>IF(Mayo!AB33&gt;0,Mayo!AB33,"")</f>
        <v>158483.02999999997</v>
      </c>
    </row>
    <row r="15" spans="1:35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>
        <f>IF(Junio!H32&gt;0,Junio!H32,"")</f>
        <v>3291.56</v>
      </c>
      <c r="I15" s="1">
        <f>IF(Junio!I32&gt;0,Junio!I32,"")</f>
        <v>2841.65</v>
      </c>
      <c r="J15" s="1" t="str">
        <f>IF(Junio!J32&gt;0,Junio!J32,"")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>
        <f>IF(Junio!R32&gt;0,Junio!R32,"")</f>
        <v>6825.82</v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>
        <f>IF(Junio!AA32&gt;0,Junio!AA32,"")</f>
        <v>204.59</v>
      </c>
      <c r="AB15" s="1">
        <f>IF(Junio!AB32&gt;0,Junio!AB32,"")</f>
        <v>13163.619999999999</v>
      </c>
    </row>
    <row r="16" spans="1:35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B16" s="1" t="str">
        <f>IF(Julio!AB33&gt;0,Julio!AB33,"")</f>
        <v/>
      </c>
    </row>
    <row r="17" spans="1:28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B17" s="1" t="str">
        <f>IF(Agosto!AB33&gt;0,Agosto!AB33,"")</f>
        <v/>
      </c>
    </row>
    <row r="18" spans="1:28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B18" s="1" t="str">
        <f>IF(Setiembre!AB32&gt;0,Setiembre!AB32,"")</f>
        <v/>
      </c>
    </row>
    <row r="19" spans="1:28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B19" s="1" t="str">
        <f>IF(Octubre!AB33&gt;0,Octubre!AB33,"")</f>
        <v/>
      </c>
    </row>
    <row r="20" spans="1:28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B20" s="1" t="str">
        <f>IF(Noviembre!AB32&gt;0,Noviembre!AB32,"")</f>
        <v/>
      </c>
    </row>
    <row r="21" spans="1:28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B21" s="1" t="str">
        <f>IF(Diciembre!AB33&gt;0,Diciembre!AB33,"")</f>
        <v/>
      </c>
    </row>
    <row r="23" spans="1:28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</row>
    <row r="24" spans="1:28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71</v>
      </c>
      <c r="L24" s="1" t="s">
        <v>11</v>
      </c>
      <c r="M24" s="1" t="s">
        <v>12</v>
      </c>
      <c r="N24" s="1" t="s">
        <v>13</v>
      </c>
      <c r="O24" s="1" t="s">
        <v>14</v>
      </c>
      <c r="P24" s="1" t="s">
        <v>15</v>
      </c>
      <c r="Q24" s="1" t="s">
        <v>16</v>
      </c>
      <c r="R24" s="1" t="s">
        <v>17</v>
      </c>
      <c r="S24" s="1" t="s">
        <v>18</v>
      </c>
      <c r="T24" s="1" t="s">
        <v>19</v>
      </c>
      <c r="U24" s="1" t="s">
        <v>44</v>
      </c>
      <c r="V24" s="1" t="s">
        <v>21</v>
      </c>
      <c r="W24" s="1" t="s">
        <v>22</v>
      </c>
      <c r="X24" s="1" t="s">
        <v>45</v>
      </c>
      <c r="Y24" s="1" t="s">
        <v>24</v>
      </c>
      <c r="Z24" s="1" t="s">
        <v>67</v>
      </c>
      <c r="AA24" s="1" t="s">
        <v>26</v>
      </c>
      <c r="AB24" s="9" t="s">
        <v>47</v>
      </c>
    </row>
    <row r="25" spans="1:28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B25" s="10">
        <f t="shared" ref="AB25:AB33" si="7">SUMIF(B25:AA25,"&lt;&gt;"&amp;"")</f>
        <v>12166.969999999994</v>
      </c>
    </row>
    <row r="26" spans="1:28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 t="str">
        <f>IF(ISNUMBER(Junio!J32),J4-Junio!J32,"")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>
        <f>IF(ISNUMBER(Junio!R32),R4-Junio!R32,"")</f>
        <v>13174.18</v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">
        <f>IF(ISNUMBER(Junio!AA32),AA4-Junio!AA32,"")</f>
        <v>4795.41</v>
      </c>
      <c r="AB26" s="10">
        <f t="shared" si="7"/>
        <v>18336.38</v>
      </c>
    </row>
    <row r="27" spans="1:28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B27" s="10">
        <f t="shared" si="7"/>
        <v>0</v>
      </c>
    </row>
    <row r="28" spans="1:28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B28" s="10">
        <f t="shared" si="7"/>
        <v>0</v>
      </c>
    </row>
    <row r="29" spans="1:28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B29" s="10">
        <f t="shared" si="7"/>
        <v>0</v>
      </c>
    </row>
    <row r="30" spans="1:28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B30" s="10">
        <f t="shared" si="7"/>
        <v>0</v>
      </c>
    </row>
    <row r="31" spans="1:28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B31" s="10">
        <f t="shared" si="7"/>
        <v>0</v>
      </c>
    </row>
    <row r="32" spans="1:28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B32" s="10">
        <f t="shared" si="7"/>
        <v>0</v>
      </c>
    </row>
    <row r="33" spans="1:28" ht="15" customHeight="1" x14ac:dyDescent="0.25">
      <c r="A33" s="11" t="s">
        <v>48</v>
      </c>
      <c r="B33" s="10">
        <f t="shared" ref="B33:AA33" si="8">SUMIF(B25:B32,"&lt;&gt;"&amp;"")</f>
        <v>0</v>
      </c>
      <c r="C33" s="10">
        <f t="shared" si="8"/>
        <v>0</v>
      </c>
      <c r="D33" s="10">
        <f t="shared" si="8"/>
        <v>47.229999999999563</v>
      </c>
      <c r="E33" s="10">
        <f t="shared" si="8"/>
        <v>30</v>
      </c>
      <c r="F33" s="10">
        <f t="shared" si="8"/>
        <v>46</v>
      </c>
      <c r="G33" s="10">
        <f t="shared" si="8"/>
        <v>20</v>
      </c>
      <c r="H33" s="10">
        <f t="shared" si="8"/>
        <v>416.88000000000011</v>
      </c>
      <c r="I33" s="10">
        <f t="shared" si="8"/>
        <v>1014.0899999999997</v>
      </c>
      <c r="J33" s="10">
        <f t="shared" si="8"/>
        <v>300</v>
      </c>
      <c r="K33" s="10"/>
      <c r="L33" s="10">
        <f t="shared" si="8"/>
        <v>17.989999999997963</v>
      </c>
      <c r="M33" s="10">
        <f t="shared" si="8"/>
        <v>72.319999999999709</v>
      </c>
      <c r="N33" s="10">
        <f t="shared" si="8"/>
        <v>40</v>
      </c>
      <c r="O33" s="10">
        <f t="shared" si="8"/>
        <v>1219.2399999999998</v>
      </c>
      <c r="P33" s="10">
        <f t="shared" si="8"/>
        <v>1800</v>
      </c>
      <c r="Q33" s="10">
        <f t="shared" si="8"/>
        <v>50.820000000000164</v>
      </c>
      <c r="R33" s="10">
        <f t="shared" si="8"/>
        <v>13554.969999999998</v>
      </c>
      <c r="S33" s="10">
        <f t="shared" si="8"/>
        <v>1689</v>
      </c>
      <c r="T33" s="10">
        <f t="shared" si="8"/>
        <v>1738.5</v>
      </c>
      <c r="U33" s="10">
        <f t="shared" si="8"/>
        <v>614.75</v>
      </c>
      <c r="V33" s="10">
        <f t="shared" si="8"/>
        <v>0</v>
      </c>
      <c r="W33" s="10">
        <f t="shared" si="8"/>
        <v>1731.1399999999999</v>
      </c>
      <c r="X33" s="10">
        <f t="shared" si="8"/>
        <v>790.91000000000008</v>
      </c>
      <c r="Y33" s="10">
        <f t="shared" si="8"/>
        <v>219.67000000000007</v>
      </c>
      <c r="Z33" s="10">
        <f t="shared" si="8"/>
        <v>0</v>
      </c>
      <c r="AA33" s="10">
        <f t="shared" si="8"/>
        <v>5089.84</v>
      </c>
      <c r="AB33" s="10">
        <f t="shared" si="7"/>
        <v>30503.349999999995</v>
      </c>
    </row>
    <row r="36" spans="1:28" ht="15.75" x14ac:dyDescent="0.25">
      <c r="A36" s="16" t="s">
        <v>54</v>
      </c>
    </row>
    <row r="37" spans="1:28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/>
      <c r="L37" s="17" t="s">
        <v>50</v>
      </c>
      <c r="M37" s="17" t="s">
        <v>52</v>
      </c>
      <c r="N37" s="17" t="s">
        <v>53</v>
      </c>
    </row>
    <row r="38" spans="1:28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0"/>
      <c r="L38" s="21">
        <f>SUM(C38:J38)</f>
        <v>0</v>
      </c>
      <c r="M38" s="22">
        <f>L38/2</f>
        <v>0</v>
      </c>
      <c r="N38" s="22">
        <f>L38/2</f>
        <v>0</v>
      </c>
    </row>
    <row r="39" spans="1:28" x14ac:dyDescent="0.25">
      <c r="A39" s="23" t="s">
        <v>55</v>
      </c>
      <c r="L39" s="24">
        <f>L38/B38</f>
        <v>0</v>
      </c>
    </row>
    <row r="41" spans="1:28" x14ac:dyDescent="0.25">
      <c r="A41" s="25" t="s">
        <v>56</v>
      </c>
    </row>
    <row r="42" spans="1:28" x14ac:dyDescent="0.25">
      <c r="A42" s="26" t="s">
        <v>57</v>
      </c>
      <c r="B42" s="26" t="s">
        <v>58</v>
      </c>
      <c r="C42" s="26" t="s">
        <v>59</v>
      </c>
    </row>
    <row r="43" spans="1:28" x14ac:dyDescent="0.25">
      <c r="A43" s="27"/>
      <c r="B43" s="28"/>
      <c r="C43" s="29"/>
    </row>
    <row r="44" spans="1:28" x14ac:dyDescent="0.25">
      <c r="A44" s="27"/>
      <c r="B44" s="28"/>
      <c r="C44" s="29"/>
    </row>
    <row r="45" spans="1:28" x14ac:dyDescent="0.25">
      <c r="A45" s="27"/>
      <c r="B45" s="28"/>
      <c r="C45" s="29"/>
    </row>
    <row r="46" spans="1:28" x14ac:dyDescent="0.25">
      <c r="A46" s="27"/>
      <c r="B46" s="28"/>
      <c r="C46" s="29"/>
    </row>
    <row r="47" spans="1:28" x14ac:dyDescent="0.25">
      <c r="A47" s="27"/>
      <c r="B47" s="28"/>
      <c r="C47" s="29"/>
    </row>
    <row r="48" spans="1:28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3"/>
  <sheetViews>
    <sheetView topLeftCell="L22" zoomScaleNormal="100" workbookViewId="0">
      <selection activeCell="W33" sqref="W33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bestFit="1" customWidth="1"/>
    <col min="20" max="20" width="7.140625" bestFit="1" customWidth="1"/>
    <col min="21" max="21" width="20.140625" customWidth="1"/>
    <col min="22" max="23" width="13" customWidth="1"/>
    <col min="24" max="24" width="17.42578125" bestFit="1" customWidth="1"/>
    <col min="25" max="25" width="9.140625" bestFit="1" customWidth="1"/>
    <col min="26" max="26" width="12.42578125" bestFit="1" customWidth="1"/>
    <col min="27" max="27" width="6.5703125" bestFit="1" customWidth="1"/>
    <col min="28" max="28" width="13.28515625" bestFit="1" customWidth="1"/>
    <col min="29" max="29" width="25" customWidth="1"/>
  </cols>
  <sheetData>
    <row r="1" spans="1:29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66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>
        <v>2754.82</v>
      </c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2754.82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>
        <v>422.95</v>
      </c>
      <c r="S5" s="14"/>
      <c r="T5" s="14"/>
      <c r="U5" s="14"/>
      <c r="V5" s="14"/>
      <c r="W5" s="14"/>
      <c r="X5" s="14">
        <v>68.64</v>
      </c>
      <c r="Y5" s="14"/>
      <c r="Z5" s="14"/>
      <c r="AA5" s="14"/>
      <c r="AB5" s="14">
        <f t="shared" si="0"/>
        <v>491.59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18924</v>
      </c>
      <c r="AC6" s="14"/>
    </row>
    <row r="7" spans="1:29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/>
      <c r="L7" s="14">
        <f>17828.45+253.56</f>
        <v>18082.010000000002</v>
      </c>
      <c r="M7" s="14"/>
      <c r="N7" s="14"/>
      <c r="O7" s="14"/>
      <c r="P7" s="14"/>
      <c r="Q7" s="14"/>
      <c r="R7" s="14">
        <v>135</v>
      </c>
      <c r="S7" s="14"/>
      <c r="T7" s="14"/>
      <c r="U7" s="14"/>
      <c r="V7" s="14"/>
      <c r="W7" s="14"/>
      <c r="X7" s="14">
        <v>334.65</v>
      </c>
      <c r="Y7" s="14"/>
      <c r="Z7" s="14"/>
      <c r="AA7" s="14">
        <v>2258.36</v>
      </c>
      <c r="AB7" s="14">
        <f t="shared" si="0"/>
        <v>44925.840000000004</v>
      </c>
      <c r="AC7" s="14" t="s">
        <v>62</v>
      </c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>
        <v>351</v>
      </c>
      <c r="P8" s="14"/>
      <c r="Q8" s="14"/>
      <c r="R8" s="14">
        <f>454-8.26+506-8.3</f>
        <v>943.44</v>
      </c>
      <c r="S8" s="14"/>
      <c r="T8" s="14">
        <v>1540</v>
      </c>
      <c r="U8" s="14"/>
      <c r="V8" s="14"/>
      <c r="W8" s="14"/>
      <c r="X8" s="14">
        <f>2.27*40</f>
        <v>90.8</v>
      </c>
      <c r="Y8" s="14"/>
      <c r="Z8" s="14"/>
      <c r="AA8" s="14"/>
      <c r="AB8" s="14">
        <f t="shared" si="0"/>
        <v>2925.2400000000002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/>
      <c r="N9" s="14">
        <v>810</v>
      </c>
      <c r="O9" s="35">
        <f>1000-16.39</f>
        <v>983.61</v>
      </c>
      <c r="P9" s="14"/>
      <c r="Q9" s="14"/>
      <c r="R9" s="14">
        <f>452-2.93+179-4.85</f>
        <v>623.21999999999991</v>
      </c>
      <c r="S9" s="14"/>
      <c r="T9" s="14">
        <v>500</v>
      </c>
      <c r="U9" s="14"/>
      <c r="V9" s="14"/>
      <c r="W9" s="14"/>
      <c r="X9" s="14"/>
      <c r="Y9" s="14"/>
      <c r="Z9" s="14"/>
      <c r="AA9" s="14">
        <f>899-14.74</f>
        <v>884.26</v>
      </c>
      <c r="AB9" s="14">
        <f t="shared" si="0"/>
        <v>4501.09</v>
      </c>
      <c r="AC9" s="14" t="s">
        <v>63</v>
      </c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>
        <v>1321</v>
      </c>
      <c r="P10" s="14"/>
      <c r="Q10" s="14"/>
      <c r="R10" s="14"/>
      <c r="S10" s="14"/>
      <c r="T10" s="14">
        <f>1037-17</f>
        <v>1020</v>
      </c>
      <c r="U10" s="14"/>
      <c r="V10" s="14"/>
      <c r="W10" s="14"/>
      <c r="X10" s="14"/>
      <c r="Y10" s="14"/>
      <c r="Z10" s="14"/>
      <c r="AA10" s="14"/>
      <c r="AB10" s="14">
        <f t="shared" si="0"/>
        <v>2341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>
        <v>3637</v>
      </c>
      <c r="P11" s="14"/>
      <c r="Q11" s="14"/>
      <c r="R11" s="14">
        <f>205-3.5</f>
        <v>201.5</v>
      </c>
      <c r="S11" s="14"/>
      <c r="T11" s="14">
        <f>205-3.5</f>
        <v>201.5</v>
      </c>
      <c r="U11" s="14"/>
      <c r="V11" s="14"/>
      <c r="W11" s="14"/>
      <c r="X11" s="14"/>
      <c r="Y11" s="14"/>
      <c r="Z11" s="14"/>
      <c r="AA11" s="14"/>
      <c r="AB11" s="14">
        <f t="shared" si="0"/>
        <v>4040</v>
      </c>
      <c r="AC11" s="14"/>
    </row>
    <row r="12" spans="1:29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>
        <v>-52.65</v>
      </c>
      <c r="P12" s="14"/>
      <c r="Q12" s="14"/>
      <c r="R12" s="14">
        <f>709-15.08+920-6.49+396-1.39+347-11.65</f>
        <v>2337.39</v>
      </c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17737.510000000002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>
        <v>-545.54999999999995</v>
      </c>
      <c r="P13" s="14"/>
      <c r="Q13" s="14"/>
      <c r="R13" s="14">
        <f>404.98-7.36</f>
        <v>397.62</v>
      </c>
      <c r="S13" s="14"/>
      <c r="T13" s="14"/>
      <c r="U13" s="14">
        <f>5900-96.72</f>
        <v>5803.28</v>
      </c>
      <c r="V13" s="14"/>
      <c r="W13" s="14">
        <f>290-4.75</f>
        <v>285.25</v>
      </c>
      <c r="X13" s="14"/>
      <c r="Y13" s="14"/>
      <c r="Z13" s="14"/>
      <c r="AA13" s="14"/>
      <c r="AB13" s="14">
        <f t="shared" si="0"/>
        <v>5940.5999999999995</v>
      </c>
      <c r="AC13" s="14" t="s">
        <v>64</v>
      </c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>
        <f>2490-40.82</f>
        <v>2449.1799999999998</v>
      </c>
      <c r="R14" s="14"/>
      <c r="S14" s="14"/>
      <c r="T14" s="14"/>
      <c r="U14" s="14">
        <f>8725-143.03</f>
        <v>8581.9699999999993</v>
      </c>
      <c r="V14" s="14"/>
      <c r="W14" s="14"/>
      <c r="X14" s="14"/>
      <c r="Y14" s="14"/>
      <c r="Z14" s="14"/>
      <c r="AA14" s="14"/>
      <c r="AB14" s="14">
        <f t="shared" si="0"/>
        <v>11031.15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>
        <f>450-7.38</f>
        <v>442.62</v>
      </c>
      <c r="S16" s="14"/>
      <c r="T16" s="14"/>
      <c r="U16" s="14"/>
      <c r="V16" s="14"/>
      <c r="W16" s="14"/>
      <c r="X16" s="14">
        <v>215</v>
      </c>
      <c r="Y16" s="14"/>
      <c r="Z16" s="14"/>
      <c r="AA16" s="14"/>
      <c r="AB16" s="14">
        <f t="shared" si="0"/>
        <v>657.62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>
        <f>682-11.38+1322-21.67+113-1.85</f>
        <v>2082.1</v>
      </c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2082.1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>
        <f>380-6.23</f>
        <v>373.77</v>
      </c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373.77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>
        <f>106-1.74</f>
        <v>104.26</v>
      </c>
      <c r="S20" s="14"/>
      <c r="T20" s="14"/>
      <c r="U20" s="14"/>
      <c r="V20" s="14"/>
      <c r="W20" s="14"/>
      <c r="X20" s="14"/>
      <c r="Y20" s="14"/>
      <c r="Z20" s="14"/>
      <c r="AA20" s="14">
        <f>234+515-8.44-3.84</f>
        <v>736.71999999999991</v>
      </c>
      <c r="AB20" s="14">
        <f t="shared" si="0"/>
        <v>840.9799999999999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>
        <f>858+498-15.6-8.92+136-2.23</f>
        <v>1465.25</v>
      </c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1465.25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>
        <v>22127.68</v>
      </c>
      <c r="N22" s="14"/>
      <c r="O22" s="14"/>
      <c r="P22" s="14"/>
      <c r="Q22" s="14"/>
      <c r="R22" s="14">
        <f>524+414-8.59-7.21</f>
        <v>922.19999999999993</v>
      </c>
      <c r="S22" s="14"/>
      <c r="T22" s="14"/>
      <c r="U22" s="14"/>
      <c r="V22" s="14"/>
      <c r="W22" s="14"/>
      <c r="X22" s="14"/>
      <c r="Y22" s="14"/>
      <c r="Z22" s="14">
        <v>500</v>
      </c>
      <c r="AA22" s="14"/>
      <c r="AB22" s="14">
        <f t="shared" si="0"/>
        <v>23549.88</v>
      </c>
      <c r="AC22" s="14" t="s">
        <v>65</v>
      </c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>
        <f>932.73+320.86-16.96-5.83</f>
        <v>1230.8000000000002</v>
      </c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1230.8000000000002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>
        <v>3631</v>
      </c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3631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>
        <v>-544.65</v>
      </c>
      <c r="P25" s="14"/>
      <c r="Q25" s="14"/>
      <c r="R25" s="14">
        <f>862-12.46+474-7.77</f>
        <v>1315.77</v>
      </c>
      <c r="S25" s="14"/>
      <c r="T25" s="14"/>
      <c r="U25" s="14"/>
      <c r="V25" s="14"/>
      <c r="W25" s="14">
        <f>1000-16.39</f>
        <v>983.61</v>
      </c>
      <c r="X25" s="14"/>
      <c r="Y25" s="14"/>
      <c r="Z25" s="14"/>
      <c r="AA25" s="14">
        <f>840-13.77</f>
        <v>826.23</v>
      </c>
      <c r="AB25" s="14">
        <f t="shared" si="0"/>
        <v>2580.96</v>
      </c>
      <c r="AC25" s="14" t="s">
        <v>68</v>
      </c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>
        <f>606-13.14</f>
        <v>592.86</v>
      </c>
      <c r="S26" s="14">
        <v>150</v>
      </c>
      <c r="T26" s="14"/>
      <c r="U26" s="14"/>
      <c r="V26" s="14"/>
      <c r="W26" s="14"/>
      <c r="X26" s="14"/>
      <c r="Y26" s="14"/>
      <c r="Z26" s="14"/>
      <c r="AA26" s="14"/>
      <c r="AB26" s="14">
        <f t="shared" si="0"/>
        <v>742.86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>
        <f>759-12.98</f>
        <v>746.02</v>
      </c>
      <c r="S27" s="14"/>
      <c r="T27" s="14"/>
      <c r="U27" s="14"/>
      <c r="V27" s="14"/>
      <c r="W27" s="14"/>
      <c r="X27" s="14"/>
      <c r="Y27" s="14">
        <f>1810-29.67</f>
        <v>1780.33</v>
      </c>
      <c r="Z27" s="14"/>
      <c r="AA27" s="14"/>
      <c r="AB27" s="14">
        <f t="shared" si="0"/>
        <v>2526.35</v>
      </c>
      <c r="AC27" s="14" t="s">
        <v>69</v>
      </c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>
        <f>662-10.86</f>
        <v>651.14</v>
      </c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651.14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>
        <f>444-6.38+248-4.07</f>
        <v>681.55</v>
      </c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681.55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>
        <f>671.07-12.2+545-8.94</f>
        <v>1194.9299999999998</v>
      </c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1194.9299999999998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>
        <v>0</v>
      </c>
      <c r="L32" s="14"/>
      <c r="M32" s="14"/>
      <c r="N32" s="14"/>
      <c r="O32" s="14"/>
      <c r="P32" s="14">
        <v>0</v>
      </c>
      <c r="Q32" s="14"/>
      <c r="R32" s="14"/>
      <c r="S32" s="14">
        <v>661</v>
      </c>
      <c r="T32" s="14"/>
      <c r="U32" s="14"/>
      <c r="V32" s="14">
        <v>0</v>
      </c>
      <c r="W32" s="14"/>
      <c r="X32" s="14"/>
      <c r="Y32" s="14"/>
      <c r="Z32" s="14"/>
      <c r="AA32" s="14"/>
      <c r="AB32" s="14">
        <f t="shared" si="0"/>
        <v>661</v>
      </c>
      <c r="AC32" s="14"/>
    </row>
    <row r="33" spans="1:29" ht="15" customHeight="1" x14ac:dyDescent="0.25">
      <c r="A33" s="10" t="s">
        <v>50</v>
      </c>
      <c r="B33" s="10">
        <f t="shared" ref="B33:AB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0</v>
      </c>
      <c r="L33" s="10">
        <f t="shared" si="1"/>
        <v>18082.010000000002</v>
      </c>
      <c r="M33" s="10">
        <f t="shared" si="1"/>
        <v>22127.68</v>
      </c>
      <c r="N33" s="10">
        <f t="shared" si="1"/>
        <v>810</v>
      </c>
      <c r="O33" s="10">
        <f t="shared" si="1"/>
        <v>8780.76</v>
      </c>
      <c r="P33" s="10">
        <f t="shared" si="1"/>
        <v>0</v>
      </c>
      <c r="Q33" s="10">
        <f t="shared" si="1"/>
        <v>2449.1799999999998</v>
      </c>
      <c r="R33" s="10">
        <f t="shared" si="1"/>
        <v>19619.210000000003</v>
      </c>
      <c r="S33" s="10">
        <f t="shared" si="1"/>
        <v>811</v>
      </c>
      <c r="T33" s="10">
        <f t="shared" si="1"/>
        <v>3261.5</v>
      </c>
      <c r="U33" s="10">
        <f t="shared" si="1"/>
        <v>14385.25</v>
      </c>
      <c r="V33" s="10">
        <f t="shared" si="1"/>
        <v>0</v>
      </c>
      <c r="W33" s="10">
        <f t="shared" si="1"/>
        <v>1268.8600000000001</v>
      </c>
      <c r="X33" s="10">
        <f t="shared" si="1"/>
        <v>709.08999999999992</v>
      </c>
      <c r="Y33" s="10">
        <f t="shared" si="1"/>
        <v>1780.33</v>
      </c>
      <c r="Z33" s="10">
        <f t="shared" si="1"/>
        <v>500</v>
      </c>
      <c r="AA33" s="10">
        <f t="shared" si="1"/>
        <v>4705.57</v>
      </c>
      <c r="AB33" s="10">
        <f t="shared" si="1"/>
        <v>158483.02999999997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32"/>
  <sheetViews>
    <sheetView zoomScaleNormal="100" workbookViewId="0">
      <selection activeCell="I4" sqref="I4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0" width="15.85546875" bestFit="1" customWidth="1"/>
    <col min="11" max="11" width="15.85546875" customWidth="1"/>
    <col min="12" max="12" width="16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</cols>
  <sheetData>
    <row r="1" spans="1:29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>
        <f>2604.85+606-9.93+408+237-0.84+423-6.93+504-8.26+1702-24.55</f>
        <v>6434.3399999999992</v>
      </c>
      <c r="S2" s="14"/>
      <c r="T2" s="14"/>
      <c r="U2" s="14"/>
      <c r="V2" s="14"/>
      <c r="W2" s="14"/>
      <c r="X2" s="14"/>
      <c r="Y2" s="14"/>
      <c r="Z2" s="14"/>
      <c r="AA2" s="14">
        <f>208-3.41</f>
        <v>204.59</v>
      </c>
      <c r="AB2" s="14">
        <f t="shared" ref="AB2:AB31" si="0">SUM(B2:AA2)</f>
        <v>6638.9299999999994</v>
      </c>
      <c r="AC2" s="14" t="s">
        <v>70</v>
      </c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>
        <f>3327-35.44</f>
        <v>3291.56</v>
      </c>
      <c r="I3" s="14">
        <f>2889-47.35</f>
        <v>2841.65</v>
      </c>
      <c r="J3" s="14"/>
      <c r="K3" s="14"/>
      <c r="L3" s="14"/>
      <c r="M3" s="14"/>
      <c r="N3" s="14"/>
      <c r="O3" s="14"/>
      <c r="P3" s="14"/>
      <c r="Q3" s="14"/>
      <c r="R3" s="14">
        <f>398-6.52</f>
        <v>391.48</v>
      </c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6524.6900000000005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>
        <f t="shared" si="1"/>
        <v>3291.56</v>
      </c>
      <c r="I32" s="10">
        <f t="shared" si="1"/>
        <v>2841.65</v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>
        <f t="shared" si="1"/>
        <v>6825.82</v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204.59</v>
      </c>
      <c r="AB32" s="10">
        <f t="shared" si="1"/>
        <v>13163.619999999999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33"/>
  <sheetViews>
    <sheetView topLeftCell="A22" zoomScaleNormal="100" workbookViewId="0">
      <selection activeCell="H33" sqref="H33:N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1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 t="str">
        <f t="shared" si="1"/>
        <v/>
      </c>
      <c r="AB32" s="10">
        <f t="shared" si="1"/>
        <v>0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1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0" t="s">
        <v>50</v>
      </c>
      <c r="B32" s="10" t="str">
        <f t="shared" ref="B32:AB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 t="str">
        <f t="shared" si="1"/>
        <v/>
      </c>
      <c r="AB32" s="10">
        <f t="shared" si="1"/>
        <v>0</v>
      </c>
      <c r="AC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29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71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49</v>
      </c>
    </row>
    <row r="2" spans="1:29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>
        <f t="shared" ref="AB2:AB32" si="0">SUM(B2:AA2)</f>
        <v>0</v>
      </c>
      <c r="AC2" s="14"/>
    </row>
    <row r="3" spans="1:29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>
        <f t="shared" si="0"/>
        <v>0</v>
      </c>
      <c r="AC3" s="14"/>
    </row>
    <row r="4" spans="1:29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>
        <f t="shared" si="0"/>
        <v>0</v>
      </c>
      <c r="AC4" s="14"/>
    </row>
    <row r="5" spans="1:29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f t="shared" si="0"/>
        <v>0</v>
      </c>
      <c r="AC5" s="14"/>
    </row>
    <row r="6" spans="1:29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f t="shared" si="0"/>
        <v>0</v>
      </c>
      <c r="AC6" s="14"/>
    </row>
    <row r="7" spans="1:29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f t="shared" si="0"/>
        <v>0</v>
      </c>
      <c r="AC7" s="14"/>
    </row>
    <row r="8" spans="1:29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f t="shared" si="0"/>
        <v>0</v>
      </c>
      <c r="AC8" s="14"/>
    </row>
    <row r="9" spans="1:29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>
        <f t="shared" si="0"/>
        <v>0</v>
      </c>
      <c r="AC9" s="14"/>
    </row>
    <row r="10" spans="1:29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f t="shared" si="0"/>
        <v>0</v>
      </c>
      <c r="AC10" s="14"/>
    </row>
    <row r="11" spans="1:29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>
        <f t="shared" si="0"/>
        <v>0</v>
      </c>
      <c r="AC11" s="14"/>
    </row>
    <row r="12" spans="1:29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>
        <f t="shared" si="0"/>
        <v>0</v>
      </c>
      <c r="AC12" s="14"/>
    </row>
    <row r="13" spans="1:29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>
        <f t="shared" si="0"/>
        <v>0</v>
      </c>
      <c r="AC13" s="14"/>
    </row>
    <row r="14" spans="1:29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>
        <f t="shared" si="0"/>
        <v>0</v>
      </c>
      <c r="AC14" s="14"/>
    </row>
    <row r="15" spans="1:29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>
        <f t="shared" si="0"/>
        <v>0</v>
      </c>
      <c r="AC15" s="14"/>
    </row>
    <row r="16" spans="1:29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>
        <f t="shared" si="0"/>
        <v>0</v>
      </c>
      <c r="AC16" s="14"/>
    </row>
    <row r="17" spans="1:29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>
        <f t="shared" si="0"/>
        <v>0</v>
      </c>
      <c r="AC17" s="14"/>
    </row>
    <row r="18" spans="1:29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>
        <f t="shared" si="0"/>
        <v>0</v>
      </c>
      <c r="AC18" s="14"/>
    </row>
    <row r="19" spans="1:29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>
        <f t="shared" si="0"/>
        <v>0</v>
      </c>
      <c r="AC19" s="14"/>
    </row>
    <row r="20" spans="1:29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>
        <f t="shared" si="0"/>
        <v>0</v>
      </c>
      <c r="AC20" s="14"/>
    </row>
    <row r="21" spans="1:29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>
        <f t="shared" si="0"/>
        <v>0</v>
      </c>
      <c r="AC21" s="14"/>
    </row>
    <row r="22" spans="1:29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>
        <f t="shared" si="0"/>
        <v>0</v>
      </c>
      <c r="AC22" s="14"/>
    </row>
    <row r="23" spans="1:29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f t="shared" si="0"/>
        <v>0</v>
      </c>
      <c r="AC23" s="14"/>
    </row>
    <row r="24" spans="1:29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f t="shared" si="0"/>
        <v>0</v>
      </c>
      <c r="AC24" s="14"/>
    </row>
    <row r="25" spans="1:29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f t="shared" si="0"/>
        <v>0</v>
      </c>
      <c r="AC25" s="14"/>
    </row>
    <row r="26" spans="1:29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f t="shared" si="0"/>
        <v>0</v>
      </c>
      <c r="AC26" s="14"/>
    </row>
    <row r="27" spans="1:29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f t="shared" si="0"/>
        <v>0</v>
      </c>
      <c r="AC27" s="14"/>
    </row>
    <row r="28" spans="1:29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f t="shared" si="0"/>
        <v>0</v>
      </c>
      <c r="AC28" s="14"/>
    </row>
    <row r="29" spans="1:29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f t="shared" si="0"/>
        <v>0</v>
      </c>
      <c r="AC29" s="14"/>
    </row>
    <row r="30" spans="1:29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f t="shared" si="0"/>
        <v>0</v>
      </c>
      <c r="AC30" s="14"/>
    </row>
    <row r="31" spans="1:29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f t="shared" si="0"/>
        <v>0</v>
      </c>
      <c r="AC31" s="14"/>
    </row>
    <row r="32" spans="1:29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f t="shared" si="0"/>
        <v>0</v>
      </c>
      <c r="AC32" s="14"/>
    </row>
    <row r="33" spans="1:29" ht="15" customHeight="1" x14ac:dyDescent="0.25">
      <c r="A33" s="10" t="s">
        <v>50</v>
      </c>
      <c r="B33" s="10" t="str">
        <f t="shared" ref="B33:AB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 t="str">
        <f t="shared" si="1"/>
        <v/>
      </c>
      <c r="AB33" s="10">
        <f t="shared" si="1"/>
        <v>0</v>
      </c>
      <c r="AC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2026-06-02T12:19:37Z</dcterms:modified>
  <dc:language>en-US</dc:language>
</cp:coreProperties>
</file>