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R18" i="1" s="1"/>
  <c r="Q32" i="6"/>
  <c r="P32" i="6"/>
  <c r="O32" i="6"/>
  <c r="N32" i="6"/>
  <c r="M32" i="6"/>
  <c r="L32" i="6"/>
  <c r="K32" i="6"/>
  <c r="J32" i="6"/>
  <c r="I32" i="6"/>
  <c r="H32" i="6"/>
  <c r="G32" i="6"/>
  <c r="F32" i="6"/>
  <c r="F29" i="1" s="1"/>
  <c r="E32" i="6"/>
  <c r="E29" i="1" s="1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Q29" i="1"/>
  <c r="P29" i="1"/>
  <c r="O29" i="1"/>
  <c r="N29" i="1"/>
  <c r="M29" i="1"/>
  <c r="L29" i="1"/>
  <c r="K29" i="1"/>
  <c r="J29" i="1"/>
  <c r="I29" i="1"/>
  <c r="H29" i="1"/>
  <c r="G29" i="1"/>
  <c r="D29" i="1"/>
  <c r="C29" i="1"/>
  <c r="B29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Q18" i="1"/>
  <c r="P18" i="1"/>
  <c r="O18" i="1"/>
  <c r="N18" i="1"/>
  <c r="M18" i="1"/>
  <c r="L18" i="1"/>
  <c r="K18" i="1"/>
  <c r="J18" i="1"/>
  <c r="I18" i="1"/>
  <c r="H18" i="1"/>
  <c r="G18" i="1"/>
  <c r="D18" i="1"/>
  <c r="C18" i="1"/>
  <c r="B18" i="1"/>
  <c r="AC17" i="1"/>
  <c r="Z17" i="1"/>
  <c r="U17" i="1"/>
  <c r="Q17" i="1"/>
  <c r="M17" i="1"/>
  <c r="K17" i="1"/>
  <c r="J17" i="1"/>
  <c r="I17" i="1"/>
  <c r="H17" i="1"/>
  <c r="G17" i="1"/>
  <c r="E17" i="1"/>
  <c r="C17" i="1"/>
  <c r="B17" i="1"/>
  <c r="AC16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E18" i="1" l="1"/>
  <c r="F18" i="1"/>
  <c r="AC32" i="6"/>
  <c r="R29" i="1"/>
  <c r="Y17" i="1"/>
  <c r="W17" i="1"/>
  <c r="S17" i="1"/>
  <c r="P28" i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AC29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O33" i="1" l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<sst xmlns="http://schemas.openxmlformats.org/spreadsheetml/2006/main" count="413" uniqueCount="89">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</sst>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abSelected="1" zoomScaleNormal="100" workbookViewId="0">
      <selection activeCell="A19" sqref="A19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15700</v>
      </c>
      <c r="E7" s="1">
        <v>0</v>
      </c>
      <c r="F7" s="1">
        <v>27000</v>
      </c>
      <c r="G7" s="1">
        <v>1100</v>
      </c>
      <c r="H7" s="1">
        <v>3300</v>
      </c>
      <c r="I7" s="1">
        <v>3750</v>
      </c>
      <c r="J7" s="1">
        <v>1000</v>
      </c>
      <c r="K7" s="1">
        <v>23200</v>
      </c>
      <c r="L7" s="1">
        <v>8000</v>
      </c>
      <c r="M7" s="1">
        <v>20000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12500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171329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65664.5</v>
      </c>
      <c r="AI7" s="9">
        <f t="shared" si="4"/>
        <v>69964.5</v>
      </c>
      <c r="AJ7" s="10">
        <f t="shared" si="5"/>
        <v>135629</v>
      </c>
    </row>
    <row r="8" spans="1:36" ht="15" customHeight="1" x14ac:dyDescent="0.25">
      <c r="A8" s="1" t="s">
        <v>42</v>
      </c>
      <c r="B8" s="1">
        <v>25000</v>
      </c>
      <c r="D8" s="1">
        <v>15750</v>
      </c>
      <c r="E8" s="1">
        <v>0</v>
      </c>
      <c r="F8" s="1">
        <v>27000</v>
      </c>
      <c r="G8" s="1">
        <v>1100</v>
      </c>
      <c r="H8" s="1">
        <v>3300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19000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159460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72230</v>
      </c>
      <c r="AI8" s="9">
        <f t="shared" si="4"/>
        <v>63980</v>
      </c>
      <c r="AJ8" s="10">
        <f t="shared" si="5"/>
        <v>136210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27000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19000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138879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61939.5</v>
      </c>
      <c r="AI9" s="9">
        <f t="shared" si="4"/>
        <v>53639.5</v>
      </c>
      <c r="AJ9" s="10">
        <f t="shared" si="5"/>
        <v>115579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19000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152510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68755</v>
      </c>
      <c r="AI10" s="9">
        <f t="shared" si="4"/>
        <v>60455</v>
      </c>
      <c r="AJ10" s="10">
        <f t="shared" si="5"/>
        <v>129210</v>
      </c>
    </row>
    <row r="12" spans="1:36" ht="15" customHeight="1" x14ac:dyDescent="0.25">
      <c r="A12" s="44" t="s">
        <v>45</v>
      </c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>
        <f>IF(Setiembre!E32&gt;0,Setiembre!E32,"")</f>
        <v>498</v>
      </c>
      <c r="F18" s="1">
        <f>IF(Setiembre!F32&gt;0,Setiembre!F32,"")</f>
        <v>18447</v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>
        <f>IF(Setiembre!R32&gt;0,Setiembre!R32,"")</f>
        <v>846.29</v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5" t="s">
        <v>48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>
        <f>IF(ISNUMBER(Setiembre!E32),E7-Setiembre!E32,"")</f>
        <v>-498</v>
      </c>
      <c r="F29" s="1">
        <f>IF(ISNUMBER(Setiembre!F32),F7-Setiembre!F32,"")</f>
        <v>8553</v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>
        <f>IF(ISNUMBER(Setiembre!R32),R7-Setiembre!R32,"")</f>
        <v>18153.71</v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26208.71</v>
      </c>
    </row>
    <row r="30" spans="1:29" ht="15" customHeight="1" x14ac:dyDescent="0.25">
      <c r="A30" s="1" t="s">
        <v>42</v>
      </c>
      <c r="B30" s="1" t="str">
        <f>IF(ISNUMBER(Octubre!B33),#REF!-Octubre!B33,"")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-858.81999999999971</v>
      </c>
      <c r="F33" s="12">
        <f t="shared" si="8"/>
        <v>6667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14.069999999998345</v>
      </c>
      <c r="L33" s="12">
        <f t="shared" si="8"/>
        <v>329.53999999999724</v>
      </c>
      <c r="M33" s="12">
        <f t="shared" si="8"/>
        <v>-13596.369999999999</v>
      </c>
      <c r="N33" s="12">
        <f t="shared" si="8"/>
        <v>80</v>
      </c>
      <c r="O33" s="12">
        <f t="shared" si="8"/>
        <v>6106.2000000000007</v>
      </c>
      <c r="P33" s="12">
        <f t="shared" si="8"/>
        <v>1800</v>
      </c>
      <c r="Q33" s="12">
        <f t="shared" si="8"/>
        <v>50.820000000000164</v>
      </c>
      <c r="R33" s="12">
        <f t="shared" si="8"/>
        <v>22471.579999999998</v>
      </c>
      <c r="S33" s="12">
        <f t="shared" si="8"/>
        <v>1935.6800000000003</v>
      </c>
      <c r="T33" s="12">
        <f t="shared" si="8"/>
        <v>1227.0300000000007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3179.7</v>
      </c>
      <c r="Y33" s="12">
        <f t="shared" si="8"/>
        <v>767.64000000000033</v>
      </c>
      <c r="Z33" s="12">
        <f t="shared" si="8"/>
        <v>-1650</v>
      </c>
      <c r="AA33" s="12">
        <f t="shared" si="8"/>
        <v>-17938.87</v>
      </c>
      <c r="AC33" s="12">
        <f t="shared" si="7"/>
        <v>14723.769999999993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E27" sqref="E27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6" sqref="A16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E5" sqref="E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28515625" customWidth="1"/>
    <col min="5" max="12" width="13" customWidth="1"/>
    <col min="13" max="13" width="15.7109375" customWidth="1"/>
    <col min="14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18945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>
        <f t="shared" si="1"/>
        <v>498</v>
      </c>
      <c r="F32" s="12">
        <f t="shared" si="1"/>
        <v>18447</v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>
        <f t="shared" si="1"/>
        <v>846.29</v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19791.29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2026-09-02T13:50:21Z</dcterms:modified>
  <dc:language>en-US</dc:language>
</cp:coreProperties>
</file>