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5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R18" i="1" s="1"/>
  <c r="Q32" i="6"/>
  <c r="P32" i="6"/>
  <c r="P29" i="1" s="1"/>
  <c r="O32" i="6"/>
  <c r="N32" i="6"/>
  <c r="M32" i="6"/>
  <c r="L32" i="6"/>
  <c r="K32" i="6"/>
  <c r="J32" i="6"/>
  <c r="I32" i="6"/>
  <c r="H32" i="6"/>
  <c r="G32" i="6"/>
  <c r="F32" i="6"/>
  <c r="F29" i="1" s="1"/>
  <c r="E32" i="6"/>
  <c r="E29" i="1" s="1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Q29" i="1"/>
  <c r="O29" i="1"/>
  <c r="N29" i="1"/>
  <c r="M29" i="1"/>
  <c r="L29" i="1"/>
  <c r="K29" i="1"/>
  <c r="J29" i="1"/>
  <c r="I29" i="1"/>
  <c r="H29" i="1"/>
  <c r="G29" i="1"/>
  <c r="D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Q18" i="1"/>
  <c r="O18" i="1"/>
  <c r="N18" i="1"/>
  <c r="M18" i="1"/>
  <c r="L18" i="1"/>
  <c r="K18" i="1"/>
  <c r="J18" i="1"/>
  <c r="I18" i="1"/>
  <c r="H18" i="1"/>
  <c r="G18" i="1"/>
  <c r="D18" i="1"/>
  <c r="C18" i="1"/>
  <c r="B18" i="1"/>
  <c r="AC17" i="1"/>
  <c r="Z17" i="1"/>
  <c r="U17" i="1"/>
  <c r="Q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P18" i="1" l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O33" i="1" l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<sst xmlns="http://schemas.openxmlformats.org/spreadsheetml/2006/main" count="413" uniqueCount="89">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</sst>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opLeftCell="A17" zoomScaleNormal="100" workbookViewId="0">
      <selection activeCell="F31" sqref="F31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15700</v>
      </c>
      <c r="E7" s="1">
        <v>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7500</v>
      </c>
      <c r="M7" s="1">
        <v>25000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12500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175829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62914.5</v>
      </c>
      <c r="AI7" s="9">
        <f t="shared" si="4"/>
        <v>72214.5</v>
      </c>
      <c r="AJ7" s="10">
        <f t="shared" si="5"/>
        <v>135129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>
        <f>IF(Setiembre!P32&gt;0,Setiembre!P32,"")</f>
        <v>1800</v>
      </c>
      <c r="Q18" s="1" t="str">
        <f>IF(Setiembre!Q32&gt;0,Setiembre!Q32,"")</f>
        <v/>
      </c>
      <c r="R18" s="1">
        <f>IF(Setiembre!R32&gt;0,Setiembre!R32,"")</f>
        <v>3616.7999999999997</v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>
        <f>IF(ISNUMBER(Setiembre!E32),E7-Setiembre!E32,"")</f>
        <v>-498</v>
      </c>
      <c r="F29" s="1">
        <f>IF(ISNUMBER(Setiembre!F32),F7-Setiembre!F32,"")</f>
        <v>208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>
        <f>IF(ISNUMBER(Setiembre!P32),P7-Setiembre!P32,"")</f>
        <v>0</v>
      </c>
      <c r="Q29" s="1" t="str">
        <f>IF(ISNUMBER(Setiembre!Q32),Q7-Setiembre!Q32,"")</f>
        <v/>
      </c>
      <c r="R29" s="1">
        <f>IF(ISNUMBER(Setiembre!R32),R7-Setiembre!R32,"")</f>
        <v>15383.2</v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15164.09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-858.81999999999971</v>
      </c>
      <c r="F33" s="12">
        <f t="shared" si="8"/>
        <v>-1678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6106.2000000000007</v>
      </c>
      <c r="P33" s="12">
        <f t="shared" si="8"/>
        <v>1800</v>
      </c>
      <c r="Q33" s="12">
        <f t="shared" si="8"/>
        <v>50.820000000000164</v>
      </c>
      <c r="R33" s="12">
        <f t="shared" si="8"/>
        <v>19701.07</v>
      </c>
      <c r="S33" s="12">
        <f t="shared" si="8"/>
        <v>1935.6800000000003</v>
      </c>
      <c r="T33" s="12">
        <f t="shared" si="8"/>
        <v>1227.0300000000007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3179.7</v>
      </c>
      <c r="Y33" s="12">
        <f t="shared" si="8"/>
        <v>767.64000000000033</v>
      </c>
      <c r="Z33" s="12">
        <f t="shared" si="8"/>
        <v>-1650</v>
      </c>
      <c r="AA33" s="12">
        <f t="shared" si="8"/>
        <v>-17938.87</v>
      </c>
      <c r="AC33" s="12">
        <f t="shared" si="7"/>
        <v>3679.1499999999978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abSelected="1" topLeftCell="L22" zoomScaleNormal="100" workbookViewId="0">
      <selection activeCell="R4" sqref="R4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3616.7999999999997</v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39685.910000000003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2026-09-04T11:26:36Z</dcterms:modified>
  <dc:language>en-US</dc:language>
</cp:coreProperties>
</file>