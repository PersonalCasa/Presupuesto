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9bf34ef3ebdbf8/Desktop/Nico/"/>
    </mc:Choice>
  </mc:AlternateContent>
  <xr:revisionPtr revIDLastSave="40" documentId="11_3528FC9679616F11138CF261575EFE9D5C3E667E" xr6:coauthVersionLast="47" xr6:coauthVersionMax="47" xr10:uidLastSave="{055BA2EC-CD94-484B-A894-4E7F8D74BEEB}"/>
  <bookViews>
    <workbookView xWindow="-108" yWindow="-108" windowWidth="23256" windowHeight="13896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9" i="7" l="1"/>
  <c r="R29" i="7"/>
  <c r="S29" i="7"/>
  <c r="R28" i="7"/>
  <c r="AA26" i="7"/>
  <c r="R27" i="7"/>
  <c r="AA27" i="7"/>
  <c r="R26" i="7"/>
  <c r="R25" i="7"/>
  <c r="T25" i="7"/>
  <c r="O33" i="7"/>
  <c r="R23" i="7"/>
  <c r="M22" i="7"/>
  <c r="R22" i="7"/>
  <c r="R19" i="7"/>
  <c r="O20" i="7"/>
  <c r="T18" i="7"/>
  <c r="S20" i="7"/>
  <c r="R18" i="7"/>
  <c r="R17" i="7"/>
  <c r="R15" i="7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AA32" i="3"/>
  <c r="R16" i="3"/>
  <c r="S16" i="3"/>
  <c r="Y14" i="3"/>
  <c r="Y32" i="3" s="1"/>
  <c r="Y26" i="1" s="1"/>
  <c r="R13" i="3"/>
  <c r="R15" i="3"/>
  <c r="AD15" i="3" s="1"/>
  <c r="AC15" i="3"/>
  <c r="AD13" i="3"/>
  <c r="AC12" i="3"/>
  <c r="AC32" i="3" s="1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Y19" i="1" s="1"/>
  <c r="X33" i="7"/>
  <c r="X19" i="1" s="1"/>
  <c r="W33" i="7"/>
  <c r="W19" i="1" s="1"/>
  <c r="V33" i="7"/>
  <c r="V19" i="1" s="1"/>
  <c r="U33" i="7"/>
  <c r="U30" i="1" s="1"/>
  <c r="T33" i="7"/>
  <c r="T19" i="1" s="1"/>
  <c r="S33" i="7"/>
  <c r="S19" i="1" s="1"/>
  <c r="R33" i="7"/>
  <c r="R19" i="1" s="1"/>
  <c r="Q33" i="7"/>
  <c r="P33" i="7"/>
  <c r="P19" i="1" s="1"/>
  <c r="N33" i="7"/>
  <c r="M33" i="7"/>
  <c r="L33" i="7"/>
  <c r="L30" i="1" s="1"/>
  <c r="K33" i="7"/>
  <c r="K30" i="1" s="1"/>
  <c r="J33" i="7"/>
  <c r="I33" i="7"/>
  <c r="H33" i="7"/>
  <c r="G33" i="7"/>
  <c r="F33" i="7"/>
  <c r="F19" i="1" s="1"/>
  <c r="E33" i="7"/>
  <c r="E30" i="1" s="1"/>
  <c r="D33" i="7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K32" i="6"/>
  <c r="J32" i="6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L33" i="5"/>
  <c r="L28" i="1" s="1"/>
  <c r="K33" i="5"/>
  <c r="J33" i="5"/>
  <c r="I33" i="5"/>
  <c r="H33" i="5"/>
  <c r="G33" i="5"/>
  <c r="F33" i="5"/>
  <c r="F28" i="1" s="1"/>
  <c r="E33" i="5"/>
  <c r="E28" i="1" s="1"/>
  <c r="D33" i="5"/>
  <c r="D28" i="1" s="1"/>
  <c r="C33" i="5"/>
  <c r="C28" i="1" s="1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AA27" i="1" s="1"/>
  <c r="Z33" i="4"/>
  <c r="Z27" i="1" s="1"/>
  <c r="Y33" i="4"/>
  <c r="Y16" i="1" s="1"/>
  <c r="X33" i="4"/>
  <c r="X16" i="1" s="1"/>
  <c r="W33" i="4"/>
  <c r="W27" i="1" s="1"/>
  <c r="V33" i="4"/>
  <c r="V27" i="1" s="1"/>
  <c r="U33" i="4"/>
  <c r="U27" i="1" s="1"/>
  <c r="T33" i="4"/>
  <c r="T27" i="1" s="1"/>
  <c r="S33" i="4"/>
  <c r="S27" i="1" s="1"/>
  <c r="R33" i="4"/>
  <c r="R27" i="1" s="1"/>
  <c r="Q33" i="4"/>
  <c r="Q16" i="1" s="1"/>
  <c r="P33" i="4"/>
  <c r="P16" i="1" s="1"/>
  <c r="O33" i="4"/>
  <c r="O27" i="1" s="1"/>
  <c r="N33" i="4"/>
  <c r="N27" i="1" s="1"/>
  <c r="M33" i="4"/>
  <c r="M27" i="1" s="1"/>
  <c r="L33" i="4"/>
  <c r="L27" i="1" s="1"/>
  <c r="K33" i="4"/>
  <c r="K27" i="1" s="1"/>
  <c r="J33" i="4"/>
  <c r="J27" i="1" s="1"/>
  <c r="I33" i="4"/>
  <c r="I16" i="1" s="1"/>
  <c r="H33" i="4"/>
  <c r="H16" i="1" s="1"/>
  <c r="G33" i="4"/>
  <c r="G27" i="1" s="1"/>
  <c r="F33" i="4"/>
  <c r="F27" i="1" s="1"/>
  <c r="E33" i="4"/>
  <c r="E27" i="1" s="1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Z32" i="3"/>
  <c r="X32" i="3"/>
  <c r="X15" i="1" s="1"/>
  <c r="W32" i="3"/>
  <c r="V32" i="3"/>
  <c r="U32" i="3"/>
  <c r="U26" i="1" s="1"/>
  <c r="T32" i="3"/>
  <c r="T15" i="1" s="1"/>
  <c r="Q32" i="3"/>
  <c r="P32" i="3"/>
  <c r="O32" i="3"/>
  <c r="O26" i="1" s="1"/>
  <c r="N32" i="3"/>
  <c r="N15" i="1" s="1"/>
  <c r="M32" i="3"/>
  <c r="M26" i="1" s="1"/>
  <c r="J32" i="3"/>
  <c r="J26" i="1" s="1"/>
  <c r="G32" i="3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R30" i="2"/>
  <c r="AC30" i="2" s="1"/>
  <c r="R29" i="2"/>
  <c r="AC29" i="2" s="1"/>
  <c r="R28" i="2"/>
  <c r="AC28" i="2" s="1"/>
  <c r="Y27" i="2"/>
  <c r="Y33" i="2" s="1"/>
  <c r="R27" i="2"/>
  <c r="AC27" i="2" s="1"/>
  <c r="AC26" i="2"/>
  <c r="R26" i="2"/>
  <c r="AA25" i="2"/>
  <c r="W25" i="2"/>
  <c r="W33" i="2" s="1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T10" i="2"/>
  <c r="AC10" i="2" s="1"/>
  <c r="AA9" i="2"/>
  <c r="R9" i="2"/>
  <c r="O9" i="2"/>
  <c r="O33" i="2" s="1"/>
  <c r="X8" i="2"/>
  <c r="R8" i="2"/>
  <c r="AC8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Y30" i="1"/>
  <c r="X30" i="1"/>
  <c r="W30" i="1"/>
  <c r="V30" i="1"/>
  <c r="Z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AD10" i="1"/>
  <c r="AF10" i="1" s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K5" i="1"/>
  <c r="AC5" i="1" s="1"/>
  <c r="AI5" i="1" s="1"/>
  <c r="AD4" i="1"/>
  <c r="AF4" i="1" s="1"/>
  <c r="Z4" i="1"/>
  <c r="AC4" i="1" s="1"/>
  <c r="AI4" i="1" s="1"/>
  <c r="AD3" i="1"/>
  <c r="AF3" i="1" s="1"/>
  <c r="AC3" i="1"/>
  <c r="AI3" i="1" s="1"/>
  <c r="Q19" i="1" l="1"/>
  <c r="Q30" i="1"/>
  <c r="O19" i="1"/>
  <c r="O30" i="1"/>
  <c r="Z19" i="1"/>
  <c r="Z30" i="1"/>
  <c r="Z33" i="1" s="1"/>
  <c r="AC33" i="9"/>
  <c r="AC32" i="8"/>
  <c r="AA33" i="2"/>
  <c r="R33" i="2"/>
  <c r="Z15" i="1"/>
  <c r="Z26" i="1"/>
  <c r="AA32" i="1"/>
  <c r="AA21" i="1"/>
  <c r="Z32" i="1"/>
  <c r="Z21" i="1"/>
  <c r="Y32" i="1"/>
  <c r="Y21" i="1"/>
  <c r="X32" i="1"/>
  <c r="X21" i="1"/>
  <c r="W21" i="1"/>
  <c r="W32" i="1"/>
  <c r="V32" i="1"/>
  <c r="V21" i="1"/>
  <c r="U21" i="1"/>
  <c r="U32" i="1"/>
  <c r="T32" i="1"/>
  <c r="T21" i="1"/>
  <c r="S32" i="1"/>
  <c r="S21" i="1"/>
  <c r="R21" i="1"/>
  <c r="R32" i="1"/>
  <c r="Q32" i="1"/>
  <c r="Q21" i="1"/>
  <c r="P21" i="1"/>
  <c r="P32" i="1"/>
  <c r="O32" i="1"/>
  <c r="O21" i="1"/>
  <c r="N32" i="1"/>
  <c r="N21" i="1"/>
  <c r="M21" i="1"/>
  <c r="M32" i="1"/>
  <c r="L32" i="1"/>
  <c r="L21" i="1"/>
  <c r="K32" i="1"/>
  <c r="K21" i="1"/>
  <c r="J21" i="1"/>
  <c r="J32" i="1"/>
  <c r="I21" i="1"/>
  <c r="I32" i="1"/>
  <c r="H21" i="1"/>
  <c r="H32" i="1"/>
  <c r="G21" i="1"/>
  <c r="G32" i="1"/>
  <c r="F32" i="1"/>
  <c r="F21" i="1"/>
  <c r="E32" i="1"/>
  <c r="E21" i="1"/>
  <c r="D32" i="1"/>
  <c r="D21" i="1"/>
  <c r="C32" i="1"/>
  <c r="C21" i="1"/>
  <c r="B32" i="1"/>
  <c r="B21" i="1"/>
  <c r="AA31" i="1"/>
  <c r="AA20" i="1"/>
  <c r="Z31" i="1"/>
  <c r="Z20" i="1"/>
  <c r="Y31" i="1"/>
  <c r="Y20" i="1"/>
  <c r="X31" i="1"/>
  <c r="X20" i="1"/>
  <c r="W31" i="1"/>
  <c r="W20" i="1"/>
  <c r="V31" i="1"/>
  <c r="V20" i="1"/>
  <c r="U31" i="1"/>
  <c r="U20" i="1"/>
  <c r="T20" i="1"/>
  <c r="T31" i="1"/>
  <c r="S31" i="1"/>
  <c r="S20" i="1"/>
  <c r="R31" i="1"/>
  <c r="R20" i="1"/>
  <c r="Q31" i="1"/>
  <c r="Q20" i="1"/>
  <c r="P31" i="1"/>
  <c r="P20" i="1"/>
  <c r="O20" i="1"/>
  <c r="O31" i="1"/>
  <c r="N31" i="1"/>
  <c r="N20" i="1"/>
  <c r="M31" i="1"/>
  <c r="M20" i="1"/>
  <c r="L31" i="1"/>
  <c r="L20" i="1"/>
  <c r="K31" i="1"/>
  <c r="K20" i="1"/>
  <c r="J20" i="1"/>
  <c r="J31" i="1"/>
  <c r="I20" i="1"/>
  <c r="I31" i="1"/>
  <c r="H31" i="1"/>
  <c r="H20" i="1"/>
  <c r="G31" i="1"/>
  <c r="G20" i="1"/>
  <c r="F20" i="1"/>
  <c r="F31" i="1"/>
  <c r="E31" i="1"/>
  <c r="E20" i="1"/>
  <c r="D20" i="1"/>
  <c r="D31" i="1"/>
  <c r="C20" i="1"/>
  <c r="C31" i="1"/>
  <c r="B31" i="1"/>
  <c r="B20" i="1"/>
  <c r="N30" i="1"/>
  <c r="N19" i="1"/>
  <c r="M30" i="1"/>
  <c r="M19" i="1"/>
  <c r="J30" i="1"/>
  <c r="J19" i="1"/>
  <c r="I30" i="1"/>
  <c r="I19" i="1"/>
  <c r="H30" i="1"/>
  <c r="H19" i="1"/>
  <c r="G19" i="1"/>
  <c r="G30" i="1"/>
  <c r="D30" i="1"/>
  <c r="D19" i="1"/>
  <c r="Z29" i="1"/>
  <c r="Z18" i="1"/>
  <c r="Y18" i="1"/>
  <c r="Y29" i="1"/>
  <c r="V18" i="1"/>
  <c r="V29" i="1"/>
  <c r="N18" i="1"/>
  <c r="N29" i="1"/>
  <c r="L29" i="1"/>
  <c r="L18" i="1"/>
  <c r="K18" i="1"/>
  <c r="K29" i="1"/>
  <c r="J29" i="1"/>
  <c r="J18" i="1"/>
  <c r="I18" i="1"/>
  <c r="I29" i="1"/>
  <c r="H29" i="1"/>
  <c r="H18" i="1"/>
  <c r="G29" i="1"/>
  <c r="G18" i="1"/>
  <c r="C29" i="1"/>
  <c r="C18" i="1"/>
  <c r="B29" i="1"/>
  <c r="B18" i="1"/>
  <c r="U28" i="1"/>
  <c r="U17" i="1"/>
  <c r="Q28" i="1"/>
  <c r="Q17" i="1"/>
  <c r="M28" i="1"/>
  <c r="M17" i="1"/>
  <c r="K28" i="1"/>
  <c r="K17" i="1"/>
  <c r="J28" i="1"/>
  <c r="J17" i="1"/>
  <c r="I28" i="1"/>
  <c r="I17" i="1"/>
  <c r="H17" i="1"/>
  <c r="H28" i="1"/>
  <c r="G28" i="1"/>
  <c r="G17" i="1"/>
  <c r="D16" i="1"/>
  <c r="D27" i="1"/>
  <c r="C16" i="1"/>
  <c r="C27" i="1"/>
  <c r="B27" i="1"/>
  <c r="B16" i="1"/>
  <c r="W15" i="1"/>
  <c r="W26" i="1"/>
  <c r="V26" i="1"/>
  <c r="V15" i="1"/>
  <c r="Q26" i="1"/>
  <c r="Q15" i="1"/>
  <c r="P26" i="1"/>
  <c r="P15" i="1"/>
  <c r="G15" i="1"/>
  <c r="G26" i="1"/>
  <c r="E26" i="1"/>
  <c r="E15" i="1"/>
  <c r="B26" i="1"/>
  <c r="B15" i="1"/>
  <c r="Z25" i="1"/>
  <c r="Z14" i="1"/>
  <c r="X25" i="1"/>
  <c r="X14" i="1"/>
  <c r="V25" i="1"/>
  <c r="V14" i="1"/>
  <c r="T25" i="1"/>
  <c r="T14" i="1"/>
  <c r="S25" i="1"/>
  <c r="S14" i="1"/>
  <c r="P14" i="1"/>
  <c r="P25" i="1"/>
  <c r="N25" i="1"/>
  <c r="N14" i="1"/>
  <c r="M25" i="1"/>
  <c r="M14" i="1"/>
  <c r="L25" i="1"/>
  <c r="L14" i="1"/>
  <c r="K25" i="1"/>
  <c r="K14" i="1"/>
  <c r="J25" i="1"/>
  <c r="J14" i="1"/>
  <c r="I25" i="1"/>
  <c r="I14" i="1"/>
  <c r="G25" i="1"/>
  <c r="G14" i="1"/>
  <c r="F25" i="1"/>
  <c r="F14" i="1"/>
  <c r="E25" i="1"/>
  <c r="E14" i="1"/>
  <c r="D25" i="1"/>
  <c r="D14" i="1"/>
  <c r="C25" i="1"/>
  <c r="C14" i="1"/>
  <c r="B14" i="1"/>
  <c r="B25" i="1"/>
  <c r="W14" i="1"/>
  <c r="W25" i="1"/>
  <c r="U19" i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N33" i="1"/>
  <c r="AD10" i="3"/>
  <c r="E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T33" i="1" l="1"/>
  <c r="R25" i="1"/>
  <c r="R14" i="1"/>
  <c r="AC30" i="1"/>
  <c r="AC29" i="1"/>
  <c r="O33" i="1"/>
  <c r="AJ6" i="1"/>
  <c r="AA26" i="1"/>
  <c r="AA33" i="1" s="1"/>
  <c r="AD32" i="3"/>
  <c r="H33" i="1"/>
  <c r="R15" i="1"/>
  <c r="AJ7" i="1"/>
  <c r="L26" i="1"/>
  <c r="L33" i="1" s="1"/>
  <c r="L15" i="1"/>
  <c r="K15" i="1"/>
  <c r="K26" i="1"/>
  <c r="AJ8" i="1"/>
  <c r="AJ10" i="1"/>
  <c r="R33" i="1" l="1"/>
  <c r="AC25" i="1"/>
  <c r="K33" i="1"/>
  <c r="AC26" i="1"/>
  <c r="AC33" i="1" l="1"/>
</calcChain>
</file>

<file path=xl/sharedStrings.xml><?xml version="1.0" encoding="utf-8"?>
<sst xmlns="http://schemas.openxmlformats.org/spreadsheetml/2006/main" count="418" uniqueCount="95">
  <si>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</si>
  <si>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</si>
  <si>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</si>
  <si>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</si>
  <si>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</si>
  <si>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</si>
  <si>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</si>
  <si>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</si>
  <si>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</si>
  <si>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</si>
  <si>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</si>
  <si>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</si>
  <si>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</si>
  <si>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</si>
  <si>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</si>
  <si>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</si>
  <si>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</si>
  <si>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</si>
  <si>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</si>
  <si>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</si>
  <si>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</si>
  <si>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</si>
  <si>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</si>
  <si>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</si>
  <si>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</si>
  <si>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</si>
  <si>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</si>
  <si>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</si>
  <si>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</si>
  <si>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</si>
  <si>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</si>
  <si>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</si>
  <si>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</si>
  <si>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</si>
  <si>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</si>
  <si>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</si>
  <si>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</si>
  <si>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</si>
  <si>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</si>
  <si>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</si>
  <si>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</si>
  <si>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</si>
  <si>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</si>
  <si>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</si>
  <si>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</si>
  <si>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</si>
  <si>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</si>
  <si>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</si>
  <si>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</si>
  <si>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</si>
  <si>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</si>
  <si>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</si>
  <si>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</si>
  <si>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</si>
  <si>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</si>
  <si>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</si>
  <si>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</si>
  <si>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</si>
  <si>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</si>
  <si>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</si>
  <si>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</si>
  <si>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</si>
  <si>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</si>
  <si>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</si>
  <si>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</si>
  <si>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</si>
  <si>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</si>
  <si>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</si>
  <si>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</si>
  <si>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</si>
  <si>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</si>
  <si>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</si>
  <si>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</si>
  <si>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</si>
  <si>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</si>
  <si>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</si>
  <si>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</si>
  <si>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</si>
  <si>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</si>
  <si>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</si>
  <si>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</si>
  <si>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</si>
  <si>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</si>
  <si>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</si>
  <si>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</si>
  <si>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</si>
  <si>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</si>
  <si>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</si>
  <si>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</si>
  <si>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</si>
  <si>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</si>
  <si>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</si>
  <si>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</si>
  <si>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</si>
  <si>
    <t>luces y sellador baño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</si>
</sst>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topLeftCell="N4" zoomScaleNormal="100" workbookViewId="0">
      <selection activeCell="AD4" sqref="AD4"/>
    </sheetView>
  </sheetViews>
  <sheetFormatPr baseColWidth="10" defaultColWidth="9.109375" defaultRowHeight="14.4" x14ac:dyDescent="0.3"/>
  <cols>
    <col min="1" max="1" width="14.44140625" style="1" customWidth="1"/>
    <col min="2" max="2" width="13.33203125" style="1" customWidth="1"/>
    <col min="3" max="3" width="8" style="1" customWidth="1"/>
    <col min="4" max="4" width="13.5546875" style="1" customWidth="1"/>
    <col min="5" max="5" width="9.88671875" style="1" customWidth="1"/>
    <col min="6" max="6" width="9.109375" style="1"/>
    <col min="7" max="7" width="12" style="1" customWidth="1"/>
    <col min="8" max="8" width="9.109375" style="1"/>
    <col min="9" max="11" width="14" style="1" customWidth="1"/>
    <col min="12" max="12" width="13.44140625" style="1" customWidth="1"/>
    <col min="13" max="13" width="18.5546875" style="1" customWidth="1"/>
    <col min="14" max="14" width="10.44140625" style="1" customWidth="1"/>
    <col min="15" max="15" width="12.6640625" style="1" customWidth="1"/>
    <col min="16" max="16" width="11.109375" style="1" customWidth="1"/>
    <col min="17" max="20" width="9.109375" style="1"/>
    <col min="21" max="21" width="17.88671875" style="1" customWidth="1"/>
    <col min="22" max="22" width="10.5546875" style="1" customWidth="1"/>
    <col min="23" max="23" width="9.6640625" style="1" customWidth="1"/>
    <col min="24" max="24" width="15" style="1" customWidth="1"/>
    <col min="25" max="25" width="9.109375" style="1"/>
    <col min="26" max="26" width="15.88671875" style="1" customWidth="1"/>
    <col min="27" max="27" width="9.109375" style="1"/>
    <col min="28" max="28" width="13" style="1" customWidth="1"/>
    <col min="29" max="16384" width="9.109375" style="1"/>
  </cols>
  <sheetData>
    <row r="1" spans="1:36" ht="15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3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3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3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3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3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3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3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3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3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3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3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3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3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3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3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3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>
        <f>IF(Octubre!M33&gt;0,Octubre!M33,"")</f>
        <v>16693.46</v>
      </c>
      <c r="N19" s="1">
        <f>IF(Octubre!N33&gt;0,Octubre!N33,"")</f>
        <v>810</v>
      </c>
      <c r="O19" s="1">
        <f>IF(Octubre!O33&gt;0,Octubre!O33,"")</f>
        <v>3963.58</v>
      </c>
      <c r="P19" s="1">
        <f>IF(Octubre!P33&gt;0,Octubre!P33,"")</f>
        <v>3600</v>
      </c>
      <c r="Q19" s="1">
        <f>IF(Octubre!Q33&gt;0,Octubre!Q33,"")</f>
        <v>2508.1999999999998</v>
      </c>
      <c r="R19" s="1">
        <f>IF(Octubre!R33&gt;0,Octubre!R33,"")</f>
        <v>27515.760000000006</v>
      </c>
      <c r="S19" s="1">
        <f>IF(Octubre!S33&gt;0,Octubre!S33,"")</f>
        <v>4313.4399999999996</v>
      </c>
      <c r="T19" s="1">
        <f>IF(Octubre!T33&gt;0,Octubre!T33,"")</f>
        <v>7255.42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>
        <f>IF(Octubre!X33&gt;0,Octubre!X33,"")</f>
        <v>232.5</v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7220.91</v>
      </c>
    </row>
    <row r="20" spans="1:29" ht="15" customHeight="1" x14ac:dyDescent="0.3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3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3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3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3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3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3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3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3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3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>
        <f>IF(ISNUMBER(Octubre!M33),M8-Octubre!M33,"")</f>
        <v>6.5400000000008731</v>
      </c>
      <c r="N30" s="1">
        <f>IF(ISNUMBER(Octubre!N33),N8-Octubre!N33,"")</f>
        <v>0</v>
      </c>
      <c r="O30" s="1">
        <f>IF(ISNUMBER(Octubre!O33),O8-Octubre!O33,"")</f>
        <v>436.42000000000007</v>
      </c>
      <c r="P30" s="1">
        <f>IF(ISNUMBER(Octubre!P33),P8-Octubre!P33,"")</f>
        <v>0</v>
      </c>
      <c r="Q30" s="1">
        <f>IF(ISNUMBER(Octubre!Q33),Q8-Octubre!Q33,"")</f>
        <v>-8.1999999999998181</v>
      </c>
      <c r="R30" s="1">
        <f>IF(ISNUMBER(Octubre!R33),R8-Octubre!R33,"")</f>
        <v>-7515.7600000000057</v>
      </c>
      <c r="S30" s="1">
        <f>IF(ISNUMBER(Octubre!S33),S8-Octubre!S33,"")</f>
        <v>-2313.4399999999996</v>
      </c>
      <c r="T30" s="1">
        <f>IF(ISNUMBER(Octubre!T33),T8-Octubre!T33,"")</f>
        <v>-2255.42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>
        <f>IF(ISNUMBER(Octubre!X33),X8-Octubre!X33,"")</f>
        <v>567.5</v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-2220.91</v>
      </c>
      <c r="AC30" s="12">
        <f t="shared" si="7"/>
        <v>-9359.1600000000035</v>
      </c>
    </row>
    <row r="31" spans="1:29" ht="15" customHeight="1" x14ac:dyDescent="0.3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3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3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-13671.579999999998</v>
      </c>
      <c r="N33" s="12">
        <f t="shared" si="8"/>
        <v>80</v>
      </c>
      <c r="O33" s="12">
        <f t="shared" si="8"/>
        <v>11146.09</v>
      </c>
      <c r="P33" s="12">
        <f t="shared" si="8"/>
        <v>0</v>
      </c>
      <c r="Q33" s="12">
        <f t="shared" si="8"/>
        <v>34.420000000000528</v>
      </c>
      <c r="R33" s="12">
        <f t="shared" si="8"/>
        <v>-10095.800000000003</v>
      </c>
      <c r="S33" s="12">
        <f t="shared" si="8"/>
        <v>448.10000000000082</v>
      </c>
      <c r="T33" s="12">
        <f t="shared" si="8"/>
        <v>1782.5500000000006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4332.2</v>
      </c>
      <c r="Y33" s="12">
        <f t="shared" si="8"/>
        <v>767.64000000000033</v>
      </c>
      <c r="Z33" s="12">
        <f t="shared" si="8"/>
        <v>-1650</v>
      </c>
      <c r="AA33" s="12">
        <f t="shared" si="8"/>
        <v>-17534.509999999998</v>
      </c>
      <c r="AC33" s="12">
        <f t="shared" si="7"/>
        <v>-17553.670000000002</v>
      </c>
    </row>
    <row r="36" spans="1:29" ht="15.75" customHeight="1" x14ac:dyDescent="0.3">
      <c r="A36" s="14" t="s">
        <v>51</v>
      </c>
    </row>
    <row r="37" spans="1:29" ht="15" customHeight="1" x14ac:dyDescent="0.3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3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3">
      <c r="A39" s="21" t="s">
        <v>56</v>
      </c>
      <c r="L39" s="22">
        <f>L38/B38</f>
        <v>0</v>
      </c>
    </row>
    <row r="41" spans="1:29" ht="15" customHeight="1" x14ac:dyDescent="0.3">
      <c r="A41" s="23" t="s">
        <v>57</v>
      </c>
    </row>
    <row r="42" spans="1:29" ht="15" customHeight="1" x14ac:dyDescent="0.3">
      <c r="A42" s="24" t="s">
        <v>58</v>
      </c>
      <c r="B42" s="24" t="s">
        <v>59</v>
      </c>
      <c r="C42" s="24" t="s">
        <v>60</v>
      </c>
    </row>
    <row r="43" spans="1:29" ht="15" customHeight="1" x14ac:dyDescent="0.3">
      <c r="A43" s="25"/>
      <c r="B43" s="26"/>
      <c r="C43" s="27"/>
    </row>
    <row r="44" spans="1:29" ht="15" customHeight="1" x14ac:dyDescent="0.3">
      <c r="A44" s="25"/>
      <c r="B44" s="26"/>
      <c r="C44" s="27"/>
    </row>
    <row r="45" spans="1:29" ht="15" customHeight="1" x14ac:dyDescent="0.3">
      <c r="A45" s="25"/>
      <c r="B45" s="26"/>
      <c r="C45" s="27"/>
    </row>
    <row r="46" spans="1:29" ht="15" customHeight="1" x14ac:dyDescent="0.3">
      <c r="A46" s="25"/>
      <c r="B46" s="26"/>
      <c r="C46" s="27"/>
    </row>
    <row r="47" spans="1:29" ht="15" customHeight="1" x14ac:dyDescent="0.3">
      <c r="A47" s="25"/>
      <c r="B47" s="26"/>
      <c r="C47" s="27"/>
    </row>
    <row r="48" spans="1:29" ht="15" customHeight="1" x14ac:dyDescent="0.3">
      <c r="A48" s="25"/>
      <c r="B48" s="26"/>
      <c r="C48" s="27"/>
    </row>
    <row r="49" spans="1:3" ht="15" customHeight="1" x14ac:dyDescent="0.3">
      <c r="A49" s="25"/>
      <c r="B49" s="26"/>
      <c r="C49" s="27"/>
    </row>
    <row r="50" spans="1:3" ht="15" customHeight="1" x14ac:dyDescent="0.3">
      <c r="A50" s="25"/>
      <c r="B50" s="26"/>
      <c r="C50" s="27"/>
    </row>
    <row r="51" spans="1:3" ht="15" customHeight="1" x14ac:dyDescent="0.3">
      <c r="A51" s="25"/>
      <c r="B51" s="26"/>
      <c r="C51" s="27"/>
    </row>
    <row r="52" spans="1:3" ht="15" customHeight="1" x14ac:dyDescent="0.3">
      <c r="A52" s="25"/>
      <c r="B52" s="26"/>
      <c r="C52" s="27"/>
    </row>
    <row r="53" spans="1:3" ht="15" customHeight="1" x14ac:dyDescent="0.3">
      <c r="A53" s="28" t="s">
        <v>61</v>
      </c>
      <c r="B53" s="29"/>
      <c r="C53" s="30">
        <f>SUM(C43:C52)</f>
        <v>0</v>
      </c>
    </row>
    <row r="54" spans="1:3" ht="15" customHeight="1" x14ac:dyDescent="0.3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21.109375" customWidth="1"/>
    <col min="5" max="8" width="13" customWidth="1"/>
    <col min="9" max="9" width="12.33203125" customWidth="1"/>
    <col min="10" max="11" width="15.88671875" customWidth="1"/>
    <col min="12" max="12" width="19.44140625" customWidth="1"/>
    <col min="13" max="13" width="22.44140625" customWidth="1"/>
    <col min="14" max="14" width="13" customWidth="1"/>
    <col min="15" max="15" width="22.33203125" customWidth="1"/>
    <col min="16" max="17" width="13" customWidth="1"/>
    <col min="18" max="19" width="10.33203125" customWidth="1"/>
    <col min="20" max="20" width="7.109375" customWidth="1"/>
    <col min="21" max="21" width="20.109375" customWidth="1"/>
    <col min="22" max="23" width="13" customWidth="1"/>
    <col min="24" max="24" width="17.44140625" customWidth="1"/>
    <col min="25" max="25" width="9.109375" customWidth="1"/>
    <col min="26" max="26" width="12.44140625" customWidth="1"/>
    <col min="27" max="27" width="6.5546875" customWidth="1"/>
    <col min="28" max="28" width="13.33203125" customWidth="1"/>
    <col min="29" max="29" width="25" customWidth="1"/>
  </cols>
  <sheetData>
    <row r="1" spans="1:30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3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3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3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6.33203125" customWidth="1"/>
    <col min="5" max="9" width="13" customWidth="1"/>
    <col min="10" max="11" width="15.88671875" customWidth="1"/>
    <col min="12" max="12" width="16" customWidth="1"/>
    <col min="13" max="13" width="21.33203125" customWidth="1"/>
    <col min="14" max="14" width="13" customWidth="1"/>
    <col min="15" max="15" width="13.88671875" customWidth="1"/>
    <col min="16" max="20" width="13" customWidth="1"/>
    <col min="21" max="21" width="20.33203125" customWidth="1"/>
    <col min="22" max="23" width="13" customWidth="1"/>
    <col min="24" max="24" width="21" customWidth="1"/>
    <col min="25" max="25" width="13" customWidth="1"/>
    <col min="26" max="27" width="21.44140625" customWidth="1"/>
    <col min="28" max="28" width="13" customWidth="1"/>
    <col min="29" max="29" width="14" customWidth="1"/>
    <col min="30" max="30" width="25" customWidth="1"/>
    <col min="31" max="31" width="28.6640625" bestFit="1" customWidth="1"/>
  </cols>
  <sheetData>
    <row r="1" spans="1:31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3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3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3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3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3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zoomScaleNormal="100" workbookViewId="0">
      <selection activeCell="E27" sqref="E27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zoomScaleNormal="100" workbookViewId="0">
      <selection activeCell="A16" sqref="A16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109375" bestFit="1" customWidth="1"/>
    <col min="5" max="6" width="13" customWidth="1"/>
    <col min="7" max="7" width="9" customWidth="1"/>
    <col min="8" max="8" width="9.33203125" bestFit="1" customWidth="1"/>
    <col min="9" max="9" width="8.44140625" customWidth="1"/>
    <col min="10" max="10" width="15.88671875" bestFit="1" customWidth="1"/>
    <col min="11" max="11" width="13.109375" bestFit="1" customWidth="1"/>
    <col min="12" max="12" width="14" bestFit="1" customWidth="1"/>
    <col min="13" max="13" width="21.33203125" bestFit="1" customWidth="1"/>
    <col min="14" max="14" width="13" customWidth="1"/>
    <col min="15" max="15" width="13.88671875" bestFit="1" customWidth="1"/>
    <col min="16" max="20" width="13" customWidth="1"/>
    <col min="21" max="21" width="20.33203125" bestFit="1" customWidth="1"/>
    <col min="22" max="23" width="13" customWidth="1"/>
    <col min="24" max="24" width="17.44140625" bestFit="1" customWidth="1"/>
    <col min="25" max="25" width="13" customWidth="1"/>
    <col min="26" max="26" width="15.109375" bestFit="1" customWidth="1"/>
    <col min="27" max="27" width="13" customWidth="1"/>
    <col min="28" max="28" width="14" customWidth="1"/>
    <col min="29" max="29" width="25" customWidth="1"/>
    <col min="30" max="30" width="17.6640625" bestFit="1" customWidth="1"/>
  </cols>
  <sheetData>
    <row r="1" spans="1:30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3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topLeftCell="R16" zoomScaleNormal="100" workbookViewId="0">
      <selection activeCell="R31" sqref="R3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33203125" customWidth="1"/>
    <col min="5" max="12" width="13" customWidth="1"/>
    <col min="13" max="13" width="15.6640625" customWidth="1"/>
    <col min="14" max="25" width="13" customWidth="1"/>
    <col min="26" max="26" width="16.10937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3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3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3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topLeftCell="E12" zoomScaleNormal="100" workbookViewId="0">
      <selection activeCell="Q30" sqref="Q30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5546875" customWidth="1"/>
    <col min="5" max="12" width="13" customWidth="1"/>
    <col min="13" max="13" width="17.109375" customWidth="1"/>
    <col min="14" max="25" width="13" customWidth="1"/>
    <col min="26" max="26" width="15.33203125" customWidth="1"/>
    <col min="27" max="27" width="13" customWidth="1"/>
    <col min="28" max="28" width="14" customWidth="1"/>
    <col min="29" max="29" width="25" customWidth="1"/>
    <col min="30" max="30" width="23.66406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3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232.5</v>
      </c>
      <c r="Y16" s="35"/>
      <c r="Z16" s="35"/>
      <c r="AA16" s="35"/>
      <c r="AB16" s="36"/>
      <c r="AC16" s="35">
        <f t="shared" si="0"/>
        <v>232.5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1056-77.9</f>
        <v>978.1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978.1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2213.22-34.71+460-33.95</f>
        <v>2604.56</v>
      </c>
      <c r="S18" s="35"/>
      <c r="T18" s="35">
        <f>1000-16.39</f>
        <v>983.61</v>
      </c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3588.17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316-5.18+790+1090.89-13.03-18.37</f>
        <v>2160.31</v>
      </c>
      <c r="S19" s="35"/>
      <c r="T19" s="35">
        <v>340</v>
      </c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2500.31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f>500-8.19</f>
        <v>491.81</v>
      </c>
      <c r="P20" s="35"/>
      <c r="Q20" s="35"/>
      <c r="R20" s="35"/>
      <c r="S20" s="35">
        <f>530-8.69</f>
        <v>521.30999999999995</v>
      </c>
      <c r="T20" s="35">
        <v>500</v>
      </c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1513.12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f>15187.97+1505.49</f>
        <v>16693.46</v>
      </c>
      <c r="N22" s="35"/>
      <c r="O22" s="35"/>
      <c r="P22" s="35"/>
      <c r="Q22" s="35"/>
      <c r="R22" s="35">
        <f>819-6.64-12.83-21.77-21.2+405+1328+1293+358</f>
        <v>4140.5599999999995</v>
      </c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20834.019999999997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602.5+1172.02</f>
        <v>1774.52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1774.52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3921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3921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-941.04</v>
      </c>
      <c r="P25" s="35"/>
      <c r="Q25" s="35"/>
      <c r="R25" s="35">
        <f>67-1.1+206.89-3.39+1395-19.27</f>
        <v>1645.13</v>
      </c>
      <c r="S25" s="35"/>
      <c r="T25" s="35">
        <f>1100+440+160-2.62</f>
        <v>1697.38</v>
      </c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2401.4700000000003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540-39.84</f>
        <v>500.15999999999997</v>
      </c>
      <c r="S26" s="35">
        <v>3000</v>
      </c>
      <c r="T26" s="35">
        <v>2200</v>
      </c>
      <c r="U26" s="35"/>
      <c r="V26" s="35"/>
      <c r="W26" s="35"/>
      <c r="X26" s="35"/>
      <c r="Y26" s="35"/>
      <c r="Z26" s="35"/>
      <c r="AA26" s="35">
        <f>409+340-7.44</f>
        <v>741.56</v>
      </c>
      <c r="AB26" s="36"/>
      <c r="AC26" s="35">
        <f t="shared" si="0"/>
        <v>6441.7199999999993</v>
      </c>
      <c r="AD26" s="35" t="s">
        <v>81</v>
      </c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451+821-13.45-8.04</f>
        <v>1250.51</v>
      </c>
      <c r="S27" s="35"/>
      <c r="T27" s="35"/>
      <c r="U27" s="35"/>
      <c r="V27" s="35"/>
      <c r="W27" s="35"/>
      <c r="X27" s="35"/>
      <c r="Y27" s="35"/>
      <c r="Z27" s="35"/>
      <c r="AA27" s="35">
        <f>485-7.95+945-15.49</f>
        <v>1406.56</v>
      </c>
      <c r="AB27" s="36"/>
      <c r="AC27" s="35">
        <f t="shared" si="0"/>
        <v>2657.0699999999997</v>
      </c>
      <c r="AD27" s="35" t="s">
        <v>94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684+562-11.21-9.21</f>
        <v>1225.58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1225.58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>
        <v>1800</v>
      </c>
      <c r="Q29" s="35">
        <f>2550-41.8</f>
        <v>2508.1999999999998</v>
      </c>
      <c r="R29" s="35">
        <f>315.19-5.17</f>
        <v>310.02</v>
      </c>
      <c r="S29" s="35">
        <f>234-2.59</f>
        <v>231.41</v>
      </c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4849.6299999999992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>
        <f t="shared" si="1"/>
        <v>16693.46</v>
      </c>
      <c r="N33" s="12">
        <f t="shared" si="1"/>
        <v>810</v>
      </c>
      <c r="O33" s="12">
        <f>IF(COUNTA(O2:O32)&gt;0,SUM(O2:O32),"")</f>
        <v>3963.58</v>
      </c>
      <c r="P33" s="12">
        <f t="shared" si="1"/>
        <v>3600</v>
      </c>
      <c r="Q33" s="12">
        <f t="shared" si="1"/>
        <v>2508.1999999999998</v>
      </c>
      <c r="R33" s="12">
        <f t="shared" si="1"/>
        <v>27515.760000000006</v>
      </c>
      <c r="S33" s="12">
        <f t="shared" si="1"/>
        <v>4313.4399999999996</v>
      </c>
      <c r="T33" s="12">
        <f t="shared" si="1"/>
        <v>7255.42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>
        <f t="shared" si="1"/>
        <v>232.5</v>
      </c>
      <c r="Y33" s="12" t="str">
        <f t="shared" si="1"/>
        <v/>
      </c>
      <c r="Z33" s="12" t="str">
        <f t="shared" si="1"/>
        <v/>
      </c>
      <c r="AA33" s="12">
        <f t="shared" si="1"/>
        <v>7220.91</v>
      </c>
      <c r="AB33" s="38" t="str">
        <f t="shared" si="1"/>
        <v/>
      </c>
      <c r="AC33" s="12">
        <f t="shared" si="1"/>
        <v>196395.3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Nicolás Arocha</cp:lastModifiedBy>
  <cp:revision>0</cp:revision>
  <dcterms:created xsi:type="dcterms:W3CDTF">2015-06-05T18:19:34Z</dcterms:created>
  <dcterms:modified xsi:type="dcterms:W3CDTF">2026-10-30T09:00:17Z</dcterms:modified>
  <dc:language>en-US</dc:language>
</cp:coreProperties>
</file>