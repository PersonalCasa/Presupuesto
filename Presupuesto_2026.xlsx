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 activeTab="5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4" i="6" l="1"/>
  <c r="R14" i="6"/>
  <c r="R12" i="6"/>
  <c r="R11" i="6" l="1"/>
  <c r="R10" i="6" l="1"/>
  <c r="U9" i="6"/>
  <c r="L7" i="6" l="1"/>
  <c r="AA7" i="6"/>
  <c r="W7" i="6"/>
  <c r="R7" i="6"/>
  <c r="R6" i="6"/>
  <c r="R5" i="6"/>
  <c r="R4" i="6" l="1"/>
  <c r="I4" i="6" l="1"/>
  <c r="H4" i="6"/>
  <c r="R3" i="6"/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AA18" i="1" s="1"/>
  <c r="Z32" i="6"/>
  <c r="Y32" i="6"/>
  <c r="X32" i="6"/>
  <c r="W32" i="6"/>
  <c r="W18" i="1" s="1"/>
  <c r="V32" i="6"/>
  <c r="U32" i="6"/>
  <c r="U29" i="1" s="1"/>
  <c r="T32" i="6"/>
  <c r="S32" i="6"/>
  <c r="R32" i="6"/>
  <c r="R18" i="1" s="1"/>
  <c r="Q32" i="6"/>
  <c r="P32" i="6"/>
  <c r="P29" i="1" s="1"/>
  <c r="O32" i="6"/>
  <c r="N32" i="6"/>
  <c r="M32" i="6"/>
  <c r="L32" i="6"/>
  <c r="L29" i="1" s="1"/>
  <c r="K32" i="6"/>
  <c r="K18" i="1" s="1"/>
  <c r="J32" i="6"/>
  <c r="J29" i="1" s="1"/>
  <c r="I32" i="6"/>
  <c r="H32" i="6"/>
  <c r="G32" i="6"/>
  <c r="F32" i="6"/>
  <c r="F29" i="1" s="1"/>
  <c r="E32" i="6"/>
  <c r="E29" i="1" s="1"/>
  <c r="D32" i="6"/>
  <c r="D18" i="1" s="1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U28" i="1" s="1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Z29" i="1"/>
  <c r="Y29" i="1"/>
  <c r="X29" i="1"/>
  <c r="V29" i="1"/>
  <c r="T29" i="1"/>
  <c r="S29" i="1"/>
  <c r="Q29" i="1"/>
  <c r="O29" i="1"/>
  <c r="N29" i="1"/>
  <c r="M29" i="1"/>
  <c r="K29" i="1"/>
  <c r="I29" i="1"/>
  <c r="H29" i="1"/>
  <c r="G29" i="1"/>
  <c r="C29" i="1"/>
  <c r="B29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Z18" i="1"/>
  <c r="Y18" i="1"/>
  <c r="X18" i="1"/>
  <c r="V18" i="1"/>
  <c r="T18" i="1"/>
  <c r="S18" i="1"/>
  <c r="Q18" i="1"/>
  <c r="O18" i="1"/>
  <c r="N18" i="1"/>
  <c r="M18" i="1"/>
  <c r="L18" i="1"/>
  <c r="J18" i="1"/>
  <c r="I18" i="1"/>
  <c r="H18" i="1"/>
  <c r="G18" i="1"/>
  <c r="C18" i="1"/>
  <c r="B18" i="1"/>
  <c r="Z17" i="1"/>
  <c r="U17" i="1"/>
  <c r="Q17" i="1"/>
  <c r="M17" i="1"/>
  <c r="K17" i="1"/>
  <c r="J17" i="1"/>
  <c r="I17" i="1"/>
  <c r="H17" i="1"/>
  <c r="G17" i="1"/>
  <c r="E17" i="1"/>
  <c r="C17" i="1"/>
  <c r="B17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D29" i="1" l="1"/>
  <c r="U18" i="1"/>
  <c r="W29" i="1"/>
  <c r="W33" i="1" s="1"/>
  <c r="AA29" i="1"/>
  <c r="P18" i="1"/>
  <c r="E18" i="1"/>
  <c r="F18" i="1"/>
  <c r="AC32" i="6"/>
  <c r="R29" i="1"/>
  <c r="Y17" i="1"/>
  <c r="W17" i="1"/>
  <c r="S17" i="1"/>
  <c r="P28" i="1"/>
  <c r="D17" i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C29" i="1" l="1"/>
  <c r="O33" i="1"/>
  <c r="AJ6" i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<sst xmlns="http://schemas.openxmlformats.org/spreadsheetml/2006/main" count="413" uniqueCount="91">
  <si>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</si>
  <si>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</si>
  <si>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</si>
  <si>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</si>
  <si>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</si>
  <si>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</si>
  <si>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</si>
  <si>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</si>
  <si>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</si>
  <si>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</si>
  <si>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</si>
  <si>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</si>
  <si>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</si>
  <si>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</si>
  <si>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</si>
  <si>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</si>
  <si>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</si>
  <si>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</si>
  <si>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</si>
  <si>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</si>
  <si>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</si>
  <si>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</si>
  <si>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</si>
  <si>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</si>
  <si>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</si>
  <si>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</si>
  <si>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</si>
  <si>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</si>
  <si>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</si>
  <si>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</si>
  <si>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</si>
  <si>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</si>
  <si>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</si>
  <si>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</si>
  <si>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</si>
  <si>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</si>
  <si>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</si>
  <si>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</si>
  <si>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</si>
  <si>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</si>
  <si>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</si>
  <si>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</si>
  <si>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</si>
  <si>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</si>
  <si>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</si>
  <si>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</si>
  <si>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</si>
  <si>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</si>
  <si>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</si>
  <si>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</si>
  <si>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</si>
  <si>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</si>
  <si>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</si>
  <si>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</si>
  <si>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</si>
  <si>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</si>
  <si>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</si>
  <si>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</si>
  <si>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</si>
  <si>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</si>
  <si>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</si>
  <si>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</si>
  <si>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</si>
  <si>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</si>
  <si>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</si>
  <si>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</si>
  <si>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</si>
  <si>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</si>
  <si>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</si>
  <si>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</si>
  <si>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</si>
  <si>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</si>
  <si>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</si>
  <si>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</si>
  <si>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</si>
  <si>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</si>
  <si>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</si>
  <si>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</si>
  <si>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</si>
  <si>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</si>
  <si>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</si>
  <si>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</si>
  <si>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</si>
  <si>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</si>
  <si>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</si>
  <si>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</si>
  <si>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</si>
  <si>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</si>
  <si>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</si>
  <si>
    <t>circo</t>
  </si>
  <si>
    <t>gas y calefacción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</si>
</sst>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0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opLeftCell="U1" zoomScaleNormal="100" workbookViewId="0">
      <selection activeCell="AI7" sqref="AI7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C7" s="1">
        <v>4369</v>
      </c>
      <c r="D7" s="1">
        <v>15706.32</v>
      </c>
      <c r="E7" s="1">
        <v>500</v>
      </c>
      <c r="F7" s="1">
        <v>27000</v>
      </c>
      <c r="G7" s="1">
        <v>1100</v>
      </c>
      <c r="H7" s="1">
        <v>3300</v>
      </c>
      <c r="I7" s="1">
        <v>3750</v>
      </c>
      <c r="J7" s="1">
        <v>1000</v>
      </c>
      <c r="K7" s="1">
        <v>23200</v>
      </c>
      <c r="L7" s="1">
        <v>7505</v>
      </c>
      <c r="M7" s="1">
        <v>23000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13115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174955.32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64477.66</v>
      </c>
      <c r="AI7" s="9">
        <f t="shared" si="4"/>
        <v>71771.34</v>
      </c>
      <c r="AJ7" s="10">
        <f t="shared" si="5"/>
        <v>136249</v>
      </c>
    </row>
    <row r="8" spans="1:36" ht="15" customHeight="1" x14ac:dyDescent="0.25">
      <c r="A8" s="1" t="s">
        <v>42</v>
      </c>
      <c r="B8" s="1">
        <v>25000</v>
      </c>
      <c r="D8" s="1">
        <v>15750</v>
      </c>
      <c r="E8" s="1">
        <v>0</v>
      </c>
      <c r="F8" s="1">
        <v>27000</v>
      </c>
      <c r="G8" s="1">
        <v>1100</v>
      </c>
      <c r="H8" s="1">
        <v>3300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19000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159460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72230</v>
      </c>
      <c r="AI8" s="9">
        <f t="shared" si="4"/>
        <v>63980</v>
      </c>
      <c r="AJ8" s="10">
        <f t="shared" si="5"/>
        <v>136210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27000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19000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138879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61939.5</v>
      </c>
      <c r="AI9" s="9">
        <f t="shared" si="4"/>
        <v>53639.5</v>
      </c>
      <c r="AJ9" s="10">
        <f t="shared" si="5"/>
        <v>115579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19000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152510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68755</v>
      </c>
      <c r="AI10" s="9">
        <f t="shared" si="4"/>
        <v>60455</v>
      </c>
      <c r="AJ10" s="10">
        <f t="shared" si="5"/>
        <v>129210</v>
      </c>
    </row>
    <row r="12" spans="1:36" ht="15" customHeight="1" x14ac:dyDescent="0.25">
      <c r="A12" s="44" t="s">
        <v>45</v>
      </c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>
        <f>IF(Setiembre!C32&gt;0,Setiembre!C32,"")</f>
        <v>4369</v>
      </c>
      <c r="D18" s="1">
        <f>IF(Setiembre!D32&gt;0,Setiembre!D32,"")</f>
        <v>15706.32</v>
      </c>
      <c r="E18" s="1">
        <f>IF(Setiembre!E32&gt;0,Setiembre!E32,"")</f>
        <v>498</v>
      </c>
      <c r="F18" s="1">
        <f>IF(Setiembre!F32&gt;0,Setiembre!F32,"")</f>
        <v>26792</v>
      </c>
      <c r="G18" s="1" t="str">
        <f>IF(Setiembre!G32&gt;0,Setiembre!G32,"")</f>
        <v/>
      </c>
      <c r="H18" s="1">
        <f>IF(Setiembre!H32&gt;0,Setiembre!H32,"")</f>
        <v>3291.56</v>
      </c>
      <c r="I18" s="1">
        <f>IF(Setiembre!I32&gt;0,Setiembre!I32,"")</f>
        <v>3687.55</v>
      </c>
      <c r="J18" s="1">
        <f>IF(Setiembre!J32&gt;0,Setiembre!J32,"")</f>
        <v>1000</v>
      </c>
      <c r="K18" s="1">
        <f>IF(Setiembre!K32&gt;0,Setiembre!K32,"")</f>
        <v>23112.77</v>
      </c>
      <c r="L18" s="1">
        <f>IF(Setiembre!L32&gt;0,Setiembre!L32,"")</f>
        <v>7502.34</v>
      </c>
      <c r="M18" s="1" t="str">
        <f>IF(Setiembre!M32&gt;0,Setiembre!M32,"")</f>
        <v/>
      </c>
      <c r="N18" s="1">
        <f>IF(Setiembre!N32&gt;0,Setiembre!N32,"")</f>
        <v>810</v>
      </c>
      <c r="O18" s="1">
        <f>IF(Setiembre!O32&gt;0,Setiembre!O32,"")</f>
        <v>491.81</v>
      </c>
      <c r="P18" s="1">
        <f>IF(Setiembre!P32&gt;0,Setiembre!P32,"")</f>
        <v>1800</v>
      </c>
      <c r="Q18" s="1" t="str">
        <f>IF(Setiembre!Q32&gt;0,Setiembre!Q32,"")</f>
        <v/>
      </c>
      <c r="R18" s="1">
        <f>IF(Setiembre!R32&gt;0,Setiembre!R32,"")</f>
        <v>12279.42</v>
      </c>
      <c r="S18" s="1" t="str">
        <f>IF(Setiembre!S32&gt;0,Setiembre!S32,"")</f>
        <v/>
      </c>
      <c r="T18" s="1" t="str">
        <f>IF(Setiembre!T32&gt;0,Setiembre!T32,"")</f>
        <v/>
      </c>
      <c r="U18" s="1">
        <f>IF(Setiembre!U32&gt;0,Setiembre!U32,"")</f>
        <v>13110.49</v>
      </c>
      <c r="V18" s="1" t="str">
        <f>IF(Setiembre!V32&gt;0,Setiembre!V32,"")</f>
        <v/>
      </c>
      <c r="W18" s="1">
        <f>IF(Setiembre!W32&gt;0,Setiembre!W32,"")</f>
        <v>1947.54</v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>
        <f>IF(Setiembre!AA32&gt;0,Setiembre!AA32,"")</f>
        <v>2171.13</v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9" ht="15" customHeight="1" x14ac:dyDescent="0.25">
      <c r="A23" s="45" t="s">
        <v>48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25">
      <c r="A29" s="1" t="s">
        <v>41</v>
      </c>
      <c r="B29" s="1" t="str">
        <f>IF(ISNUMBER(Setiembre!B32),B8-Setiembre!B32,"")</f>
        <v/>
      </c>
      <c r="C29" s="1">
        <f>IF(ISNUMBER(Setiembre!C32),C7-Setiembre!C32,"")</f>
        <v>0</v>
      </c>
      <c r="D29" s="1">
        <f>IF(ISNUMBER(Setiembre!D32),D7-Setiembre!D32,"")</f>
        <v>0</v>
      </c>
      <c r="E29" s="1">
        <f>IF(ISNUMBER(Setiembre!E32),E7-Setiembre!E32,"")</f>
        <v>2</v>
      </c>
      <c r="F29" s="1">
        <f>IF(ISNUMBER(Setiembre!F32),F7-Setiembre!F32,"")</f>
        <v>208</v>
      </c>
      <c r="G29" s="1" t="str">
        <f>IF(ISNUMBER(Setiembre!G32),G7-Setiembre!G32,"")</f>
        <v/>
      </c>
      <c r="H29" s="1">
        <f>IF(ISNUMBER(Setiembre!H32),H7-Setiembre!H32,"")</f>
        <v>8.4400000000000546</v>
      </c>
      <c r="I29" s="1">
        <f>IF(ISNUMBER(Setiembre!I32),I7-Setiembre!I32,"")</f>
        <v>62.449999999999818</v>
      </c>
      <c r="J29" s="1">
        <f>IF(ISNUMBER(Setiembre!J32),J7-Setiembre!J32,"")</f>
        <v>0</v>
      </c>
      <c r="K29" s="1">
        <f>IF(ISNUMBER(Setiembre!K32),K7-Setiembre!K32,"")</f>
        <v>87.229999999999563</v>
      </c>
      <c r="L29" s="1">
        <f>IF(ISNUMBER(Setiembre!L32),L7-Setiembre!L32,"")</f>
        <v>2.6599999999998545</v>
      </c>
      <c r="M29" s="1" t="str">
        <f>IF(ISNUMBER(Setiembre!M32),M7-Setiembre!M32,"")</f>
        <v/>
      </c>
      <c r="N29" s="1">
        <f>IF(ISNUMBER(Setiembre!N32),N7-Setiembre!N32,"")</f>
        <v>0</v>
      </c>
      <c r="O29" s="1">
        <f>IF(ISNUMBER(Setiembre!O32),O7-Setiembre!O32,"")</f>
        <v>7508.19</v>
      </c>
      <c r="P29" s="1">
        <f>IF(ISNUMBER(Setiembre!P32),P7-Setiembre!P32,"")</f>
        <v>0</v>
      </c>
      <c r="Q29" s="1" t="str">
        <f>IF(ISNUMBER(Setiembre!Q32),Q7-Setiembre!Q32,"")</f>
        <v/>
      </c>
      <c r="R29" s="1">
        <f>IF(ISNUMBER(Setiembre!R32),R7-Setiembre!R32,"")</f>
        <v>6720.58</v>
      </c>
      <c r="S29" s="1" t="str">
        <f>IF(ISNUMBER(Setiembre!S32),S7-Setiembre!S32,"")</f>
        <v/>
      </c>
      <c r="T29" s="1" t="str">
        <f>IF(ISNUMBER(Setiembre!T32),T7-Setiembre!T32,"")</f>
        <v/>
      </c>
      <c r="U29" s="1">
        <f>IF(ISNUMBER(Setiembre!U32),U7-Setiembre!U32,"")</f>
        <v>4.5100000000002183</v>
      </c>
      <c r="V29" s="1" t="str">
        <f>IF(ISNUMBER(Setiembre!V32),V7-Setiembre!V32,"")</f>
        <v/>
      </c>
      <c r="W29" s="1">
        <f>IF(ISNUMBER(Setiembre!W32),W7-Setiembre!W32,"")</f>
        <v>1052.46</v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>
        <f>IF(ISNUMBER(Setiembre!AA32),AA7-Setiembre!AA32,"")</f>
        <v>2828.87</v>
      </c>
      <c r="AC29" s="12">
        <f t="shared" si="7"/>
        <v>18485.39</v>
      </c>
    </row>
    <row r="30" spans="1:29" ht="15" customHeight="1" x14ac:dyDescent="0.25">
      <c r="A30" s="1" t="s">
        <v>42</v>
      </c>
      <c r="B30" s="1" t="str">
        <f>IF(ISNUMBER(Octubre!B33),#REF!-Octubre!B33,"")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-358.81999999999971</v>
      </c>
      <c r="F33" s="12">
        <f t="shared" si="8"/>
        <v>-1678</v>
      </c>
      <c r="G33" s="12">
        <f t="shared" si="8"/>
        <v>5</v>
      </c>
      <c r="H33" s="12">
        <f t="shared" si="8"/>
        <v>425.32000000000016</v>
      </c>
      <c r="I33" s="12">
        <f t="shared" si="8"/>
        <v>1076.5399999999995</v>
      </c>
      <c r="J33" s="12">
        <f t="shared" si="8"/>
        <v>300</v>
      </c>
      <c r="K33" s="12">
        <f t="shared" si="8"/>
        <v>101.29999999999791</v>
      </c>
      <c r="L33" s="12">
        <f t="shared" si="8"/>
        <v>332.19999999999709</v>
      </c>
      <c r="M33" s="12">
        <f t="shared" si="8"/>
        <v>-13596.369999999999</v>
      </c>
      <c r="N33" s="12">
        <f t="shared" si="8"/>
        <v>80</v>
      </c>
      <c r="O33" s="12">
        <f t="shared" si="8"/>
        <v>13614.39</v>
      </c>
      <c r="P33" s="12">
        <f t="shared" si="8"/>
        <v>1800</v>
      </c>
      <c r="Q33" s="12">
        <f t="shared" si="8"/>
        <v>50.820000000000164</v>
      </c>
      <c r="R33" s="12">
        <f t="shared" si="8"/>
        <v>11038.449999999999</v>
      </c>
      <c r="S33" s="12">
        <f t="shared" si="8"/>
        <v>1935.6800000000003</v>
      </c>
      <c r="T33" s="12">
        <f t="shared" si="8"/>
        <v>1227.0300000000007</v>
      </c>
      <c r="U33" s="12">
        <f t="shared" si="8"/>
        <v>619.26000000000022</v>
      </c>
      <c r="V33" s="12">
        <f t="shared" si="8"/>
        <v>0</v>
      </c>
      <c r="W33" s="12">
        <f t="shared" si="8"/>
        <v>2783.6</v>
      </c>
      <c r="X33" s="12">
        <f t="shared" si="8"/>
        <v>3179.7</v>
      </c>
      <c r="Y33" s="12">
        <f t="shared" si="8"/>
        <v>767.64000000000033</v>
      </c>
      <c r="Z33" s="12">
        <f t="shared" si="8"/>
        <v>-1650</v>
      </c>
      <c r="AA33" s="12">
        <f t="shared" si="8"/>
        <v>-15110</v>
      </c>
      <c r="AC33" s="12">
        <f t="shared" si="7"/>
        <v>7000.4499999999935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E27" sqref="E27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6" sqref="A16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tabSelected="1" topLeftCell="I1" zoomScaleNormal="100" workbookViewId="0">
      <selection activeCell="O15" sqref="O1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28515625" customWidth="1"/>
    <col min="5" max="12" width="13" customWidth="1"/>
    <col min="13" max="13" width="15.7109375" customWidth="1"/>
    <col min="14" max="25" width="13" customWidth="1"/>
    <col min="26" max="26" width="16.140625" customWidth="1"/>
    <col min="27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90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25">
      <c r="A3" s="34">
        <v>2</v>
      </c>
      <c r="B3" s="35"/>
      <c r="C3" s="35"/>
      <c r="D3" s="35"/>
      <c r="E3" s="35">
        <v>498</v>
      </c>
      <c r="F3" s="35">
        <v>18447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605-44.65</f>
        <v>560.35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19505.349999999999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>
        <v>8345</v>
      </c>
      <c r="G4" s="35"/>
      <c r="H4" s="35">
        <f>3327-35.44</f>
        <v>3291.56</v>
      </c>
      <c r="I4" s="35">
        <f>3749-61.45</f>
        <v>3687.55</v>
      </c>
      <c r="J4" s="35"/>
      <c r="K4" s="35"/>
      <c r="L4" s="35"/>
      <c r="M4" s="35"/>
      <c r="N4" s="35"/>
      <c r="O4" s="35"/>
      <c r="P4" s="35">
        <v>1800</v>
      </c>
      <c r="Q4" s="35"/>
      <c r="R4" s="35">
        <f>378+1112.2+742-15.61-6.43</f>
        <v>2210.16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19334.27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263-19.4+177+0.14-3.22</f>
        <v>417.52</v>
      </c>
      <c r="S5" s="35"/>
      <c r="T5" s="35"/>
      <c r="U5" s="35"/>
      <c r="V5" s="35"/>
      <c r="W5" s="35"/>
      <c r="X5" s="35"/>
      <c r="Y5" s="35"/>
      <c r="Z5" s="35"/>
      <c r="AA5" s="35">
        <v>42</v>
      </c>
      <c r="AB5" s="36"/>
      <c r="AC5" s="35">
        <f t="shared" si="0"/>
        <v>459.52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>
        <v>23112.77</v>
      </c>
      <c r="L6" s="35"/>
      <c r="M6" s="35"/>
      <c r="N6" s="35"/>
      <c r="O6" s="35"/>
      <c r="P6" s="35"/>
      <c r="Q6" s="35"/>
      <c r="R6" s="35">
        <f>542-7.64+587-9.62</f>
        <v>1111.7400000000002</v>
      </c>
      <c r="S6" s="35"/>
      <c r="T6" s="35"/>
      <c r="U6" s="35"/>
      <c r="V6" s="35"/>
      <c r="W6" s="35"/>
      <c r="X6" s="35"/>
      <c r="Y6" s="35"/>
      <c r="Z6" s="35"/>
      <c r="AA6" s="35">
        <v>300</v>
      </c>
      <c r="AB6" s="36"/>
      <c r="AC6" s="35">
        <f t="shared" si="0"/>
        <v>24524.510000000002</v>
      </c>
      <c r="AD6" s="35" t="s">
        <v>89</v>
      </c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>
        <f>7245.67+256.67</f>
        <v>7502.34</v>
      </c>
      <c r="M7" s="35"/>
      <c r="N7" s="35"/>
      <c r="O7" s="35"/>
      <c r="P7" s="35"/>
      <c r="Q7" s="35"/>
      <c r="R7" s="35">
        <f>755-12.38</f>
        <v>742.62</v>
      </c>
      <c r="S7" s="35"/>
      <c r="T7" s="35"/>
      <c r="U7" s="35"/>
      <c r="V7" s="35"/>
      <c r="W7" s="35">
        <f>1980-32.46</f>
        <v>1947.54</v>
      </c>
      <c r="X7" s="35"/>
      <c r="Y7" s="35"/>
      <c r="Z7" s="35"/>
      <c r="AA7" s="35">
        <f>320-5.45+1244.58</f>
        <v>1559.1299999999999</v>
      </c>
      <c r="AB7" s="36"/>
      <c r="AC7" s="35">
        <f t="shared" si="0"/>
        <v>11751.63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>
        <f>13329-218.51</f>
        <v>13110.49</v>
      </c>
      <c r="V9" s="35"/>
      <c r="W9" s="35"/>
      <c r="X9" s="35"/>
      <c r="Y9" s="35"/>
      <c r="Z9" s="35"/>
      <c r="AA9" s="35"/>
      <c r="AB9" s="36"/>
      <c r="AC9" s="35">
        <f t="shared" si="0"/>
        <v>13110.49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263-4.57+952-16.36</f>
        <v>1194.0700000000002</v>
      </c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1194.0700000000002</v>
      </c>
      <c r="AD10" s="35"/>
    </row>
    <row r="11" spans="1:30" ht="15" customHeight="1" x14ac:dyDescent="0.25">
      <c r="A11" s="34">
        <v>10</v>
      </c>
      <c r="B11" s="35"/>
      <c r="C11" s="35"/>
      <c r="D11" s="35">
        <v>15706.32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>
        <f>746+720-12.65-53.11</f>
        <v>1400.24</v>
      </c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17106.560000000001</v>
      </c>
      <c r="AD11" s="35"/>
    </row>
    <row r="12" spans="1:30" ht="15" customHeight="1" x14ac:dyDescent="0.25">
      <c r="A12" s="34">
        <v>11</v>
      </c>
      <c r="B12" s="35"/>
      <c r="C12" s="35">
        <v>4369</v>
      </c>
      <c r="D12" s="35"/>
      <c r="E12" s="35"/>
      <c r="F12" s="35"/>
      <c r="G12" s="35"/>
      <c r="H12" s="35"/>
      <c r="I12" s="35"/>
      <c r="J12" s="35">
        <v>1000</v>
      </c>
      <c r="K12" s="35"/>
      <c r="L12" s="35"/>
      <c r="M12" s="35"/>
      <c r="N12" s="35">
        <v>810</v>
      </c>
      <c r="O12" s="35"/>
      <c r="P12" s="35"/>
      <c r="Q12" s="35"/>
      <c r="R12" s="35">
        <f>898-14.72+0.94+785.75-14.29</f>
        <v>1655.68</v>
      </c>
      <c r="S12" s="35"/>
      <c r="T12" s="35"/>
      <c r="U12" s="35"/>
      <c r="V12" s="35"/>
      <c r="W12" s="35"/>
      <c r="X12" s="35"/>
      <c r="Y12" s="35"/>
      <c r="Z12" s="35"/>
      <c r="AA12" s="35">
        <v>270</v>
      </c>
      <c r="AB12" s="36"/>
      <c r="AC12" s="35">
        <f t="shared" si="0"/>
        <v>8104.68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>
        <f>500-8.19</f>
        <v>491.81</v>
      </c>
      <c r="P14" s="35"/>
      <c r="Q14" s="35"/>
      <c r="R14" s="35">
        <f>180-2.95+197-3.23+80-5.9+240+460+450-7.38+248-4.07+315-5.72</f>
        <v>2140.7500000000005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2632.5600000000004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>
        <f t="shared" si="1"/>
        <v>4369</v>
      </c>
      <c r="D32" s="12">
        <f t="shared" si="1"/>
        <v>15706.32</v>
      </c>
      <c r="E32" s="12">
        <f t="shared" si="1"/>
        <v>498</v>
      </c>
      <c r="F32" s="12">
        <f t="shared" si="1"/>
        <v>26792</v>
      </c>
      <c r="G32" s="12" t="str">
        <f t="shared" si="1"/>
        <v/>
      </c>
      <c r="H32" s="12">
        <f t="shared" si="1"/>
        <v>3291.56</v>
      </c>
      <c r="I32" s="12">
        <f t="shared" si="1"/>
        <v>3687.55</v>
      </c>
      <c r="J32" s="12">
        <f t="shared" si="1"/>
        <v>1000</v>
      </c>
      <c r="K32" s="12">
        <f t="shared" si="1"/>
        <v>23112.77</v>
      </c>
      <c r="L32" s="12">
        <f t="shared" si="1"/>
        <v>7502.34</v>
      </c>
      <c r="M32" s="12" t="str">
        <f t="shared" si="1"/>
        <v/>
      </c>
      <c r="N32" s="12">
        <f t="shared" si="1"/>
        <v>810</v>
      </c>
      <c r="O32" s="12">
        <f t="shared" si="1"/>
        <v>491.81</v>
      </c>
      <c r="P32" s="12">
        <f t="shared" si="1"/>
        <v>1800</v>
      </c>
      <c r="Q32" s="12" t="str">
        <f t="shared" si="1"/>
        <v/>
      </c>
      <c r="R32" s="12">
        <f t="shared" si="1"/>
        <v>12279.42</v>
      </c>
      <c r="S32" s="12" t="str">
        <f t="shared" si="1"/>
        <v/>
      </c>
      <c r="T32" s="12" t="str">
        <f t="shared" si="1"/>
        <v/>
      </c>
      <c r="U32" s="12">
        <f t="shared" si="1"/>
        <v>13110.49</v>
      </c>
      <c r="V32" s="12" t="str">
        <f t="shared" si="1"/>
        <v/>
      </c>
      <c r="W32" s="12">
        <f t="shared" si="1"/>
        <v>1947.54</v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>
        <f t="shared" si="1"/>
        <v>2171.13</v>
      </c>
      <c r="AB32" s="38" t="str">
        <f t="shared" si="1"/>
        <v/>
      </c>
      <c r="AC32" s="12">
        <f t="shared" si="1"/>
        <v>118569.93000000002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2026-09-14T00:09:02Z</dcterms:modified>
  <dc:language>en-US</dc:language>
</cp:coreProperties>
</file>