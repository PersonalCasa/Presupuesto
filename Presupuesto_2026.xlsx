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N33" i="5"/>
  <c r="N28" i="1" s="1"/>
  <c r="M33" i="5"/>
  <c r="M28" i="1" s="1"/>
  <c r="L33" i="5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AC30" i="1" s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O28" i="1"/>
  <c r="L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W17" i="1"/>
  <c r="U17" i="1"/>
  <c r="T17" i="1"/>
  <c r="S17" i="1"/>
  <c r="Q17" i="1"/>
  <c r="P17" i="1"/>
  <c r="O17" i="1"/>
  <c r="M17" i="1"/>
  <c r="L17" i="1"/>
  <c r="K17" i="1"/>
  <c r="J17" i="1"/>
  <c r="I17" i="1"/>
  <c r="H17" i="1"/>
  <c r="G17" i="1"/>
  <c r="E17" i="1"/>
  <c r="D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X28" i="1" l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<sst xmlns="http://schemas.openxmlformats.org/spreadsheetml/2006/main" count="405" uniqueCount="81">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</sst>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H15" sqref="H15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1015</v>
      </c>
      <c r="H6" s="1">
        <v>3500</v>
      </c>
      <c r="I6" s="1">
        <v>3000</v>
      </c>
      <c r="J6" s="1">
        <v>1000</v>
      </c>
      <c r="K6" s="1">
        <v>18000</v>
      </c>
      <c r="L6" s="1">
        <v>12000</v>
      </c>
      <c r="M6" s="1">
        <v>17000</v>
      </c>
      <c r="N6" s="1">
        <v>810</v>
      </c>
      <c r="O6" s="1">
        <v>8000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Z6" s="1">
        <v>1000</v>
      </c>
      <c r="AA6" s="1">
        <v>5000</v>
      </c>
      <c r="AB6" s="6"/>
      <c r="AC6" s="1">
        <f>SUM(B6:AB6)</f>
        <v>150325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58162.5</v>
      </c>
      <c r="AI6" s="9">
        <f t="shared" si="4"/>
        <v>59562.5</v>
      </c>
      <c r="AJ6" s="10">
        <f t="shared" si="5"/>
        <v>117725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1000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175644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80322</v>
      </c>
      <c r="AI7" s="9">
        <f t="shared" si="4"/>
        <v>72172</v>
      </c>
      <c r="AJ7" s="10">
        <f t="shared" si="5"/>
        <v>152494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1000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137575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61287.5</v>
      </c>
      <c r="AI8" s="9">
        <f t="shared" si="4"/>
        <v>53137.5</v>
      </c>
      <c r="AJ8" s="10">
        <f t="shared" si="5"/>
        <v>114425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1000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140494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62747</v>
      </c>
      <c r="AI9" s="9">
        <f t="shared" si="4"/>
        <v>54547</v>
      </c>
      <c r="AJ9" s="10">
        <f t="shared" si="5"/>
        <v>117294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1000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156375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70687.5</v>
      </c>
      <c r="AI10" s="9">
        <f t="shared" si="4"/>
        <v>62487.5</v>
      </c>
      <c r="AJ10" s="10">
        <f t="shared" si="5"/>
        <v>133175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>
        <f>IF(Agosto!O33&gt;0,Agosto!O33,"")</f>
        <v>491.81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2860.71</v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879.34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>
        <f>IF(ISNUMBER(Agosto!O33),O6-Agosto!O33,"")</f>
        <v>7508.19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17139.29</v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4120.66</v>
      </c>
      <c r="AC28" s="12">
        <f t="shared" si="7"/>
        <v>30086.93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18923.03</v>
      </c>
      <c r="P33" s="12">
        <f t="shared" si="8"/>
        <v>1800</v>
      </c>
      <c r="Q33" s="12">
        <f t="shared" si="8"/>
        <v>50.820000000000164</v>
      </c>
      <c r="R33" s="12">
        <f t="shared" si="8"/>
        <v>17893.95</v>
      </c>
      <c r="S33" s="12">
        <f t="shared" si="8"/>
        <v>1893.8000000000002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-12430.149999999998</v>
      </c>
      <c r="AC33" s="12">
        <f t="shared" si="7"/>
        <v>20117.66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T1" zoomScaleNormal="100" workbookViewId="0">
      <selection activeCell="Y10" sqref="Y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>
        <f t="shared" si="1"/>
        <v>491.81</v>
      </c>
      <c r="P33" s="12" t="str">
        <f t="shared" si="1"/>
        <v/>
      </c>
      <c r="Q33" s="12" t="str">
        <f t="shared" si="1"/>
        <v/>
      </c>
      <c r="R33" s="12">
        <f t="shared" si="1"/>
        <v>2860.71</v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879.34</v>
      </c>
      <c r="AB33" s="38" t="str">
        <f t="shared" si="1"/>
        <v/>
      </c>
      <c r="AC33" s="12">
        <f t="shared" si="1"/>
        <v>4413.0700000000006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2026-08-05T11:53:11Z</dcterms:modified>
  <dc:language>en-US</dc:language>
</cp:coreProperties>
</file>