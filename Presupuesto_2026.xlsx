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38529319-E284-4F54-997E-64DA84AD1025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3" i="1" l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2" i="1" s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1" i="1" s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26" i="1" s="1"/>
  <c r="AA10" i="1"/>
  <c r="AA9" i="1"/>
  <c r="AA8" i="1"/>
  <c r="AA7" i="1"/>
  <c r="AA6" i="1"/>
  <c r="AA5" i="1"/>
  <c r="AA4" i="1"/>
  <c r="AA3" i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C54" i="1" l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H7" i="1" s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H4" i="1" s="1"/>
  <c r="AB4" i="1"/>
  <c r="AD4" i="1" s="1"/>
  <c r="AG3" i="1"/>
  <c r="AF3" i="1"/>
  <c r="AB3" i="1"/>
  <c r="AD3" i="1" s="1"/>
  <c r="D25" i="1"/>
  <c r="D33" i="1" s="1"/>
  <c r="D14" i="1"/>
  <c r="C14" i="1"/>
  <c r="C25" i="1"/>
  <c r="C33" i="1" s="1"/>
  <c r="B25" i="1"/>
  <c r="B14" i="1"/>
  <c r="E33" i="1" l="1"/>
  <c r="B33" i="1"/>
  <c r="AA33" i="1" s="1"/>
  <c r="AA25" i="1"/>
  <c r="AH10" i="1"/>
  <c r="AH3" i="1"/>
  <c r="AH9" i="1"/>
</calcChain>
</file>

<file path=xl/sharedStrings.xml><?xml version="1.0" encoding="utf-8"?>
<sst xmlns="http://schemas.openxmlformats.org/spreadsheetml/2006/main" count="369" uniqueCount="62">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</sst>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  <font>
      <b/>
      <sz val="12"/>
      <name val="Cambria"/>
      <charset val="1"/>
    </font>
    <font>
      <b/>
      <sz val="11"/>
      <color rgb="FF0284C7"/>
      <name val="Cambria"/>
      <charset val="1"/>
    </font>
    <font>
      <i/>
      <sz val="11"/>
      <color rgb="FF555555"/>
      <name val="Cambria"/>
      <charset val="1"/>
    </font>
    <font>
      <b/>
      <sz val="11"/>
      <color rgb="FFC62828"/>
      <name val="Cambria"/>
      <charset val="1"/>
    </font>
    <font>
      <b/>
      <sz val="11"/>
      <color rgb="FF1B5E20"/>
      <name val="Cambri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A35" zoomScaleNormal="100" workbookViewId="0">
      <selection activeCell="C39" sqref="C39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9500</v>
      </c>
      <c r="F3" s="1">
        <v>26000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19000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150500</v>
      </c>
      <c r="AB3" s="5">
        <f t="shared" ref="AB3:AB10" si="1">+AA3/2</f>
        <v>75250</v>
      </c>
      <c r="AC3" s="1">
        <v>10000</v>
      </c>
      <c r="AD3" s="5">
        <f t="shared" ref="AD3:AD10" si="2">+AE3-AB3-AC3</f>
        <v>9750</v>
      </c>
      <c r="AE3" s="1">
        <v>95000</v>
      </c>
      <c r="AF3" s="6">
        <f t="shared" ref="AF3:AF10" si="3">AA3/2-L3</f>
        <v>56250</v>
      </c>
      <c r="AG3" s="7">
        <f t="shared" ref="AG3:AG10" si="4">AA3/2-D3</f>
        <v>59750</v>
      </c>
      <c r="AH3" s="8">
        <f t="shared" ref="AH3:AH10" si="5">AF3+AG3</f>
        <v>116000</v>
      </c>
    </row>
    <row r="4" spans="1:34" ht="15" customHeight="1" x14ac:dyDescent="0.25">
      <c r="A4" s="1" t="s">
        <v>36</v>
      </c>
      <c r="D4" s="1">
        <v>15500</v>
      </c>
      <c r="E4" s="1">
        <v>9500</v>
      </c>
      <c r="F4" s="1">
        <v>35000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146400</v>
      </c>
      <c r="AB4" s="5">
        <f t="shared" si="1"/>
        <v>73200</v>
      </c>
      <c r="AC4" s="1">
        <v>10000</v>
      </c>
      <c r="AD4" s="5">
        <f t="shared" si="2"/>
        <v>11800</v>
      </c>
      <c r="AE4" s="1">
        <v>95000</v>
      </c>
      <c r="AF4" s="6">
        <f t="shared" si="3"/>
        <v>65700</v>
      </c>
      <c r="AG4" s="7">
        <f t="shared" si="4"/>
        <v>57700</v>
      </c>
      <c r="AH4" s="8">
        <f t="shared" si="5"/>
        <v>123400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9500</v>
      </c>
      <c r="F5" s="1">
        <v>26000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133419</v>
      </c>
      <c r="AB5" s="5">
        <f t="shared" si="1"/>
        <v>66709.5</v>
      </c>
      <c r="AC5" s="1">
        <v>10000</v>
      </c>
      <c r="AD5" s="5">
        <f t="shared" si="2"/>
        <v>18290.5</v>
      </c>
      <c r="AE5" s="1">
        <v>95000</v>
      </c>
      <c r="AF5" s="6">
        <f t="shared" si="3"/>
        <v>59209.5</v>
      </c>
      <c r="AG5" s="7">
        <f t="shared" si="4"/>
        <v>51209.5</v>
      </c>
      <c r="AH5" s="8">
        <f t="shared" si="5"/>
        <v>110419</v>
      </c>
    </row>
    <row r="6" spans="1:34" ht="15" customHeight="1" x14ac:dyDescent="0.25">
      <c r="A6" s="1" t="s">
        <v>38</v>
      </c>
      <c r="D6" s="1">
        <v>15500</v>
      </c>
      <c r="E6" s="1">
        <v>9500</v>
      </c>
      <c r="F6" s="1">
        <v>26000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127550</v>
      </c>
      <c r="AB6" s="5">
        <f t="shared" si="1"/>
        <v>63775</v>
      </c>
      <c r="AC6" s="1">
        <v>10000</v>
      </c>
      <c r="AD6" s="5">
        <f t="shared" si="2"/>
        <v>21225</v>
      </c>
      <c r="AE6" s="1">
        <v>95000</v>
      </c>
      <c r="AF6" s="6">
        <f t="shared" si="3"/>
        <v>56275</v>
      </c>
      <c r="AG6" s="7">
        <f t="shared" si="4"/>
        <v>48275</v>
      </c>
      <c r="AH6" s="8">
        <f t="shared" si="5"/>
        <v>104550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9500</v>
      </c>
      <c r="F7" s="1">
        <v>26000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156919</v>
      </c>
      <c r="AB7" s="5">
        <f t="shared" si="1"/>
        <v>78459.5</v>
      </c>
      <c r="AC7" s="1">
        <v>10000</v>
      </c>
      <c r="AD7" s="5">
        <f t="shared" si="2"/>
        <v>6540.5</v>
      </c>
      <c r="AE7" s="1">
        <v>95000</v>
      </c>
      <c r="AF7" s="6">
        <f t="shared" si="3"/>
        <v>70959.5</v>
      </c>
      <c r="AG7" s="7">
        <f t="shared" si="4"/>
        <v>62959.5</v>
      </c>
      <c r="AH7" s="8">
        <f t="shared" si="5"/>
        <v>133919</v>
      </c>
    </row>
    <row r="8" spans="1:34" ht="15" customHeight="1" x14ac:dyDescent="0.25">
      <c r="A8" s="1" t="s">
        <v>40</v>
      </c>
      <c r="D8" s="1">
        <v>15500</v>
      </c>
      <c r="E8" s="1">
        <v>9500</v>
      </c>
      <c r="F8" s="1">
        <v>26000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130850</v>
      </c>
      <c r="AB8" s="5">
        <f t="shared" si="1"/>
        <v>65425</v>
      </c>
      <c r="AC8" s="1">
        <v>10000</v>
      </c>
      <c r="AD8" s="5">
        <f t="shared" si="2"/>
        <v>19575</v>
      </c>
      <c r="AE8" s="1">
        <v>95000</v>
      </c>
      <c r="AF8" s="6">
        <f t="shared" si="3"/>
        <v>57925</v>
      </c>
      <c r="AG8" s="7">
        <f t="shared" si="4"/>
        <v>49925</v>
      </c>
      <c r="AH8" s="8">
        <f t="shared" si="5"/>
        <v>107850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9500</v>
      </c>
      <c r="F9" s="1">
        <v>26000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145719</v>
      </c>
      <c r="AB9" s="5">
        <f t="shared" si="1"/>
        <v>72859.5</v>
      </c>
      <c r="AC9" s="1">
        <v>10000</v>
      </c>
      <c r="AD9" s="5">
        <f t="shared" si="2"/>
        <v>12140.5</v>
      </c>
      <c r="AE9" s="1">
        <v>95000</v>
      </c>
      <c r="AF9" s="6">
        <f t="shared" si="3"/>
        <v>65359.5</v>
      </c>
      <c r="AG9" s="7">
        <f t="shared" si="4"/>
        <v>57359.5</v>
      </c>
      <c r="AH9" s="8">
        <f t="shared" si="5"/>
        <v>122719</v>
      </c>
    </row>
    <row r="10" spans="1:34" ht="15" customHeight="1" x14ac:dyDescent="0.25">
      <c r="A10" s="1" t="s">
        <v>42</v>
      </c>
      <c r="D10" s="1">
        <v>15500</v>
      </c>
      <c r="E10" s="1">
        <v>9500</v>
      </c>
      <c r="F10" s="1">
        <v>35000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138350</v>
      </c>
      <c r="AB10" s="5">
        <f t="shared" si="1"/>
        <v>69175</v>
      </c>
      <c r="AC10" s="1">
        <v>10000</v>
      </c>
      <c r="AD10" s="5">
        <f t="shared" si="2"/>
        <v>15825</v>
      </c>
      <c r="AE10" s="1">
        <v>95000</v>
      </c>
      <c r="AF10" s="6">
        <f t="shared" si="3"/>
        <v>61675</v>
      </c>
      <c r="AG10" s="7">
        <f t="shared" si="4"/>
        <v>53675</v>
      </c>
      <c r="AH10" s="8">
        <f t="shared" si="5"/>
        <v>115350</v>
      </c>
    </row>
    <row r="12" spans="1:34" ht="15" customHeight="1" x14ac:dyDescent="0.25">
      <c r="A12" s="26" t="s">
        <v>43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 t="str">
        <f>IF(Mayo!E33&gt;0,Mayo!E33,"")</f>
        <v/>
      </c>
      <c r="F14" s="1">
        <f>IF(Mayo!F33&gt;0,Mayo!F33,"")</f>
        <v>17944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 t="str">
        <f>IF(Mayo!J33&gt;0,Mayo!J33,"")</f>
        <v/>
      </c>
      <c r="K14" s="1">
        <f>IF(Mayo!K33&gt;0,Mayo!K33,"")</f>
        <v>18082.010000000002</v>
      </c>
      <c r="L14" s="1" t="str">
        <f>IF(Mayo!L33&gt;0,Mayo!L33,"")</f>
        <v/>
      </c>
      <c r="M14" s="1" t="str">
        <f>IF(Mayo!M33&gt;0,Mayo!M33,"")</f>
        <v/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3177.77</v>
      </c>
      <c r="R14" s="1" t="str">
        <f>IF(Mayo!R33&gt;0,Mayo!R33,"")</f>
        <v/>
      </c>
      <c r="S14" s="1" t="str">
        <f>IF(Mayo!S33&gt;0,Mayo!S33,"")</f>
        <v/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68.64</v>
      </c>
      <c r="X14" s="1" t="str">
        <f>IF(Mayo!X33&gt;0,Mayo!X33,"")</f>
        <v/>
      </c>
      <c r="Y14" s="1" t="str">
        <f>IF(Mayo!Y33&gt;0,Mayo!Y33,"")</f>
        <v/>
      </c>
      <c r="Z14" s="1" t="str">
        <f>IF(Mayo!Z33&gt;0,Mayo!Z33,"")</f>
        <v/>
      </c>
      <c r="AA14" s="1">
        <f>IF(Mayo!AA33&gt;0,Mayo!AA33,"")</f>
        <v>45688.240000000005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27" t="s">
        <v>46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 t="str">
        <f>IF(ISNUMBER(Mayo!E33),E3-Mayo!E33,"")</f>
        <v/>
      </c>
      <c r="F25" s="1">
        <f>IF(ISNUMBER(Mayo!F33),F3-Mayo!F33,"")</f>
        <v>8056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 t="str">
        <f>IF(ISNUMBER(Mayo!J33),J3-Mayo!J33,"")</f>
        <v/>
      </c>
      <c r="K25" s="1">
        <f>IF(ISNUMBER(Mayo!K33),K3-Mayo!K33,"")</f>
        <v>17.989999999997963</v>
      </c>
      <c r="L25" s="1" t="str">
        <f>IF(ISNUMBER(Mayo!L33),L3-Mayo!L33,"")</f>
        <v/>
      </c>
      <c r="M25" s="1" t="str">
        <f>IF(ISNUMBER(Mayo!M33),M3-Mayo!M33,"")</f>
        <v/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16822.23</v>
      </c>
      <c r="R25" s="1" t="str">
        <f>IF(ISNUMBER(Mayo!R33),R3-Mayo!R33,"")</f>
        <v/>
      </c>
      <c r="S25" s="1" t="str">
        <f>IF(ISNUMBER(Mayo!S33),S3-Mayo!S33,"")</f>
        <v/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1431.36</v>
      </c>
      <c r="X25" s="1" t="str">
        <f>IF(ISNUMBER(Mayo!X33),X3-Mayo!X33,"")</f>
        <v/>
      </c>
      <c r="Y25" s="1" t="str">
        <f>IF(ISNUMBER(Mayo!Y33),Y3-Mayo!Y33,"")</f>
        <v/>
      </c>
      <c r="Z25" s="1" t="str">
        <f>IF(ISNUMBER(Mayo!Z33),Z3-Mayo!Z33,"")</f>
        <v/>
      </c>
      <c r="AA25" s="10">
        <f t="shared" ref="AA25:AA33" si="6">SUMIF(B25:Z25,"&lt;&gt;"&amp;"")</f>
        <v>27411.759999999998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0</v>
      </c>
      <c r="F33" s="10">
        <f t="shared" si="7"/>
        <v>8056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0</v>
      </c>
      <c r="K33" s="10">
        <f t="shared" si="7"/>
        <v>17.989999999997963</v>
      </c>
      <c r="L33" s="10">
        <f t="shared" si="7"/>
        <v>0</v>
      </c>
      <c r="M33" s="10">
        <f t="shared" si="7"/>
        <v>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16822.23</v>
      </c>
      <c r="R33" s="10">
        <f t="shared" si="7"/>
        <v>0</v>
      </c>
      <c r="S33" s="10">
        <f t="shared" si="7"/>
        <v>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1431.36</v>
      </c>
      <c r="X33" s="10">
        <f t="shared" si="7"/>
        <v>0</v>
      </c>
      <c r="Y33" s="10">
        <f t="shared" si="7"/>
        <v>0</v>
      </c>
      <c r="Z33" s="10">
        <f t="shared" si="7"/>
        <v>0</v>
      </c>
      <c r="AA33" s="10">
        <f t="shared" si="6"/>
        <v>27411.759999999998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500000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8" t="s">
        <v>56</v>
      </c>
    </row>
    <row r="42" spans="1:27" x14ac:dyDescent="0.25">
      <c r="A42" s="29" t="s">
        <v>57</v>
      </c>
      <c r="B42" s="29" t="s">
        <v>58</v>
      </c>
      <c r="C42" s="29" t="s">
        <v>59</v>
      </c>
    </row>
    <row r="43" spans="1:27" x14ac:dyDescent="0.25">
      <c r="A43" s="30"/>
      <c r="B43" s="31"/>
      <c r="C43" s="32"/>
    </row>
    <row r="44" spans="1:27" x14ac:dyDescent="0.25">
      <c r="A44" s="30"/>
      <c r="B44" s="31"/>
      <c r="C44" s="32"/>
    </row>
    <row r="45" spans="1:27" x14ac:dyDescent="0.25">
      <c r="A45" s="30"/>
      <c r="B45" s="31"/>
      <c r="C45" s="32"/>
    </row>
    <row r="46" spans="1:27" x14ac:dyDescent="0.25">
      <c r="A46" s="30"/>
      <c r="B46" s="31"/>
      <c r="C46" s="32"/>
    </row>
    <row r="47" spans="1:27" x14ac:dyDescent="0.25">
      <c r="A47" s="30"/>
      <c r="B47" s="31"/>
      <c r="C47" s="32"/>
    </row>
    <row r="48" spans="1:27" x14ac:dyDescent="0.25">
      <c r="A48" s="30"/>
      <c r="B48" s="31"/>
      <c r="C48" s="32"/>
    </row>
    <row r="49" spans="1:3" x14ac:dyDescent="0.25">
      <c r="A49" s="30"/>
      <c r="B49" s="31"/>
      <c r="C49" s="32"/>
    </row>
    <row r="50" spans="1:3" x14ac:dyDescent="0.25">
      <c r="A50" s="30"/>
      <c r="B50" s="31"/>
      <c r="C50" s="32"/>
    </row>
    <row r="51" spans="1:3" x14ac:dyDescent="0.25">
      <c r="A51" s="30"/>
      <c r="B51" s="31"/>
      <c r="C51" s="32"/>
    </row>
    <row r="52" spans="1:3" x14ac:dyDescent="0.25">
      <c r="A52" s="30"/>
      <c r="B52" s="31"/>
      <c r="C52" s="32"/>
    </row>
    <row r="53" spans="1:3" x14ac:dyDescent="0.25">
      <c r="A53" s="33" t="s">
        <v>60</v>
      </c>
      <c r="B53" s="34"/>
      <c r="C53" s="35">
        <f>SUM(C43:C52)</f>
        <v>0</v>
      </c>
    </row>
    <row r="54" spans="1:3" x14ac:dyDescent="0.25">
      <c r="A54" s="18" t="s">
        <v>61</v>
      </c>
      <c r="B54" s="36"/>
      <c r="C54" s="37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B1" zoomScaleNormal="100" workbookViewId="0">
      <selection activeCell="K8" sqref="K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23517.83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>
        <f t="shared" si="1"/>
        <v>17944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 t="str">
        <f t="shared" si="1"/>
        <v/>
      </c>
      <c r="K33" s="10">
        <f t="shared" si="1"/>
        <v>18082.010000000002</v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3177.77</v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68.64</v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45688.240000000005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2026-05-06T21:23:56Z</dcterms:modified>
  <dc:language>en-US</dc:language>
</cp:coreProperties>
</file>