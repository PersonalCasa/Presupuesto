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xr:revisionPtr revIDLastSave="0" documentId="13_ncr:1_{2D38BC12-90EE-4E12-AC57-DB5E006EC5DF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8" i="2" l="1"/>
  <c r="W8" i="2"/>
  <c r="AA8" i="2" s="1"/>
  <c r="C53" i="1"/>
  <c r="K38" i="1"/>
  <c r="K7" i="2"/>
  <c r="I7" i="2"/>
  <c r="H7" i="2"/>
  <c r="Z33" i="9"/>
  <c r="Z21" i="1" s="1"/>
  <c r="Y33" i="9"/>
  <c r="Y21" i="1" s="1"/>
  <c r="X33" i="9"/>
  <c r="X21" i="1" s="1"/>
  <c r="W33" i="9"/>
  <c r="W21" i="1" s="1"/>
  <c r="V33" i="9"/>
  <c r="V21" i="1" s="1"/>
  <c r="U33" i="9"/>
  <c r="U21" i="1" s="1"/>
  <c r="T33" i="9"/>
  <c r="T21" i="1" s="1"/>
  <c r="S33" i="9"/>
  <c r="S21" i="1" s="1"/>
  <c r="R33" i="9"/>
  <c r="R21" i="1" s="1"/>
  <c r="Q33" i="9"/>
  <c r="Q21" i="1" s="1"/>
  <c r="P33" i="9"/>
  <c r="P21" i="1" s="1"/>
  <c r="O33" i="9"/>
  <c r="O21" i="1" s="1"/>
  <c r="N33" i="9"/>
  <c r="N21" i="1" s="1"/>
  <c r="M33" i="9"/>
  <c r="M21" i="1" s="1"/>
  <c r="L33" i="9"/>
  <c r="L21" i="1" s="1"/>
  <c r="K33" i="9"/>
  <c r="K21" i="1" s="1"/>
  <c r="J33" i="9"/>
  <c r="J21" i="1" s="1"/>
  <c r="I33" i="9"/>
  <c r="I21" i="1" s="1"/>
  <c r="H33" i="9"/>
  <c r="H21" i="1" s="1"/>
  <c r="G33" i="9"/>
  <c r="G21" i="1" s="1"/>
  <c r="F33" i="9"/>
  <c r="F21" i="1" s="1"/>
  <c r="E33" i="9"/>
  <c r="E21" i="1" s="1"/>
  <c r="D33" i="9"/>
  <c r="D21" i="1" s="1"/>
  <c r="C33" i="9"/>
  <c r="C21" i="1" s="1"/>
  <c r="B33" i="9"/>
  <c r="B21" i="1" s="1"/>
  <c r="AA32" i="9"/>
  <c r="AA31" i="9"/>
  <c r="AA30" i="9"/>
  <c r="AA29" i="9"/>
  <c r="AA28" i="9"/>
  <c r="AA27" i="9"/>
  <c r="AA26" i="9"/>
  <c r="AA25" i="9"/>
  <c r="AA24" i="9"/>
  <c r="AA23" i="9"/>
  <c r="AA22" i="9"/>
  <c r="AA21" i="9"/>
  <c r="AA20" i="9"/>
  <c r="AA19" i="9"/>
  <c r="AA18" i="9"/>
  <c r="AA17" i="9"/>
  <c r="AA16" i="9"/>
  <c r="AA15" i="9"/>
  <c r="AA14" i="9"/>
  <c r="AA13" i="9"/>
  <c r="AA12" i="9"/>
  <c r="AA11" i="9"/>
  <c r="AA10" i="9"/>
  <c r="AA9" i="9"/>
  <c r="AA8" i="9"/>
  <c r="AA7" i="9"/>
  <c r="AA6" i="9"/>
  <c r="AA5" i="9"/>
  <c r="AA4" i="9"/>
  <c r="AA3" i="9"/>
  <c r="AA2" i="9"/>
  <c r="AA33" i="9" s="1"/>
  <c r="AA21" i="1" s="1"/>
  <c r="Z32" i="8"/>
  <c r="Z20" i="1" s="1"/>
  <c r="Y32" i="8"/>
  <c r="Y20" i="1" s="1"/>
  <c r="X32" i="8"/>
  <c r="X20" i="1" s="1"/>
  <c r="W32" i="8"/>
  <c r="W20" i="1" s="1"/>
  <c r="V32" i="8"/>
  <c r="V20" i="1" s="1"/>
  <c r="U32" i="8"/>
  <c r="U20" i="1" s="1"/>
  <c r="T32" i="8"/>
  <c r="T20" i="1" s="1"/>
  <c r="S32" i="8"/>
  <c r="S20" i="1" s="1"/>
  <c r="R32" i="8"/>
  <c r="R20" i="1" s="1"/>
  <c r="Q32" i="8"/>
  <c r="Q20" i="1" s="1"/>
  <c r="P32" i="8"/>
  <c r="P20" i="1" s="1"/>
  <c r="O32" i="8"/>
  <c r="O20" i="1" s="1"/>
  <c r="N32" i="8"/>
  <c r="N20" i="1" s="1"/>
  <c r="M32" i="8"/>
  <c r="M20" i="1" s="1"/>
  <c r="L32" i="8"/>
  <c r="L20" i="1" s="1"/>
  <c r="K32" i="8"/>
  <c r="K20" i="1" s="1"/>
  <c r="J32" i="8"/>
  <c r="J20" i="1" s="1"/>
  <c r="I32" i="8"/>
  <c r="I20" i="1" s="1"/>
  <c r="H32" i="8"/>
  <c r="H20" i="1" s="1"/>
  <c r="G32" i="8"/>
  <c r="G20" i="1" s="1"/>
  <c r="F32" i="8"/>
  <c r="F20" i="1" s="1"/>
  <c r="E32" i="8"/>
  <c r="E20" i="1" s="1"/>
  <c r="D32" i="8"/>
  <c r="D20" i="1" s="1"/>
  <c r="C32" i="8"/>
  <c r="C20" i="1" s="1"/>
  <c r="B32" i="8"/>
  <c r="B20" i="1" s="1"/>
  <c r="AA31" i="8"/>
  <c r="AA30" i="8"/>
  <c r="AA29" i="8"/>
  <c r="AA28" i="8"/>
  <c r="AA27" i="8"/>
  <c r="AA26" i="8"/>
  <c r="AA25" i="8"/>
  <c r="AA24" i="8"/>
  <c r="AA23" i="8"/>
  <c r="AA22" i="8"/>
  <c r="AA21" i="8"/>
  <c r="AA20" i="8"/>
  <c r="AA19" i="8"/>
  <c r="AA18" i="8"/>
  <c r="AA17" i="8"/>
  <c r="AA16" i="8"/>
  <c r="AA15" i="8"/>
  <c r="AA14" i="8"/>
  <c r="AA13" i="8"/>
  <c r="AA12" i="8"/>
  <c r="AA11" i="8"/>
  <c r="AA32" i="8" s="1"/>
  <c r="AA20" i="1" s="1"/>
  <c r="AA10" i="8"/>
  <c r="AA9" i="8"/>
  <c r="AA8" i="8"/>
  <c r="AA7" i="8"/>
  <c r="AA6" i="8"/>
  <c r="AA5" i="8"/>
  <c r="AA4" i="8"/>
  <c r="AA3" i="8"/>
  <c r="AA2" i="8"/>
  <c r="Z33" i="7"/>
  <c r="Z19" i="1" s="1"/>
  <c r="Y33" i="7"/>
  <c r="Y19" i="1" s="1"/>
  <c r="X33" i="7"/>
  <c r="X19" i="1" s="1"/>
  <c r="W33" i="7"/>
  <c r="W19" i="1" s="1"/>
  <c r="V33" i="7"/>
  <c r="V19" i="1" s="1"/>
  <c r="U33" i="7"/>
  <c r="U19" i="1" s="1"/>
  <c r="T33" i="7"/>
  <c r="T19" i="1" s="1"/>
  <c r="S33" i="7"/>
  <c r="S19" i="1" s="1"/>
  <c r="R33" i="7"/>
  <c r="R19" i="1" s="1"/>
  <c r="Q33" i="7"/>
  <c r="Q19" i="1" s="1"/>
  <c r="P33" i="7"/>
  <c r="P19" i="1" s="1"/>
  <c r="O33" i="7"/>
  <c r="O19" i="1" s="1"/>
  <c r="N33" i="7"/>
  <c r="N19" i="1" s="1"/>
  <c r="M33" i="7"/>
  <c r="M19" i="1" s="1"/>
  <c r="L33" i="7"/>
  <c r="L19" i="1" s="1"/>
  <c r="K33" i="7"/>
  <c r="K19" i="1" s="1"/>
  <c r="J33" i="7"/>
  <c r="J19" i="1" s="1"/>
  <c r="I33" i="7"/>
  <c r="I19" i="1" s="1"/>
  <c r="H33" i="7"/>
  <c r="H19" i="1" s="1"/>
  <c r="G33" i="7"/>
  <c r="G19" i="1" s="1"/>
  <c r="F33" i="7"/>
  <c r="F19" i="1" s="1"/>
  <c r="E33" i="7"/>
  <c r="E19" i="1" s="1"/>
  <c r="D33" i="7"/>
  <c r="D19" i="1" s="1"/>
  <c r="C33" i="7"/>
  <c r="C19" i="1" s="1"/>
  <c r="B33" i="7"/>
  <c r="B19" i="1" s="1"/>
  <c r="AA32" i="7"/>
  <c r="AA31" i="7"/>
  <c r="AA30" i="7"/>
  <c r="AA29" i="7"/>
  <c r="AA28" i="7"/>
  <c r="AA27" i="7"/>
  <c r="AA26" i="7"/>
  <c r="AA25" i="7"/>
  <c r="AA24" i="7"/>
  <c r="AA23" i="7"/>
  <c r="AA22" i="7"/>
  <c r="AA21" i="7"/>
  <c r="AA20" i="7"/>
  <c r="AA19" i="7"/>
  <c r="AA18" i="7"/>
  <c r="AA17" i="7"/>
  <c r="AA16" i="7"/>
  <c r="AA15" i="7"/>
  <c r="AA14" i="7"/>
  <c r="AA13" i="7"/>
  <c r="AA12" i="7"/>
  <c r="AA11" i="7"/>
  <c r="AA10" i="7"/>
  <c r="AA9" i="7"/>
  <c r="AA8" i="7"/>
  <c r="AA7" i="7"/>
  <c r="AA6" i="7"/>
  <c r="AA5" i="7"/>
  <c r="AA4" i="7"/>
  <c r="AA3" i="7"/>
  <c r="AA2" i="7"/>
  <c r="AA33" i="7" s="1"/>
  <c r="AA19" i="1" s="1"/>
  <c r="Z32" i="6"/>
  <c r="Z18" i="1" s="1"/>
  <c r="Y32" i="6"/>
  <c r="Y18" i="1" s="1"/>
  <c r="X32" i="6"/>
  <c r="X18" i="1" s="1"/>
  <c r="W32" i="6"/>
  <c r="W18" i="1" s="1"/>
  <c r="V32" i="6"/>
  <c r="V18" i="1" s="1"/>
  <c r="U32" i="6"/>
  <c r="U18" i="1" s="1"/>
  <c r="T32" i="6"/>
  <c r="T18" i="1" s="1"/>
  <c r="S32" i="6"/>
  <c r="S18" i="1" s="1"/>
  <c r="R32" i="6"/>
  <c r="R18" i="1" s="1"/>
  <c r="Q32" i="6"/>
  <c r="Q18" i="1" s="1"/>
  <c r="P32" i="6"/>
  <c r="P18" i="1" s="1"/>
  <c r="O32" i="6"/>
  <c r="O18" i="1" s="1"/>
  <c r="N32" i="6"/>
  <c r="N18" i="1" s="1"/>
  <c r="M32" i="6"/>
  <c r="M18" i="1" s="1"/>
  <c r="L32" i="6"/>
  <c r="L18" i="1" s="1"/>
  <c r="K32" i="6"/>
  <c r="K18" i="1" s="1"/>
  <c r="J32" i="6"/>
  <c r="J18" i="1" s="1"/>
  <c r="I32" i="6"/>
  <c r="I18" i="1" s="1"/>
  <c r="H32" i="6"/>
  <c r="H18" i="1" s="1"/>
  <c r="G32" i="6"/>
  <c r="G18" i="1" s="1"/>
  <c r="F32" i="6"/>
  <c r="F18" i="1" s="1"/>
  <c r="E32" i="6"/>
  <c r="D32" i="6"/>
  <c r="C32" i="6"/>
  <c r="B32" i="6"/>
  <c r="AA31" i="6"/>
  <c r="AA30" i="6"/>
  <c r="AA29" i="6"/>
  <c r="AA28" i="6"/>
  <c r="AA27" i="6"/>
  <c r="AA26" i="6"/>
  <c r="AA25" i="6"/>
  <c r="AA24" i="6"/>
  <c r="AA23" i="6"/>
  <c r="AA22" i="6"/>
  <c r="AA21" i="6"/>
  <c r="AA20" i="6"/>
  <c r="AA19" i="6"/>
  <c r="AA32" i="6" s="1"/>
  <c r="AA18" i="1" s="1"/>
  <c r="AA18" i="6"/>
  <c r="AA17" i="6"/>
  <c r="AA16" i="6"/>
  <c r="AA15" i="6"/>
  <c r="AA14" i="6"/>
  <c r="AA13" i="6"/>
  <c r="AA12" i="6"/>
  <c r="AA11" i="6"/>
  <c r="AA10" i="6"/>
  <c r="AA9" i="6"/>
  <c r="AA8" i="6"/>
  <c r="AA7" i="6"/>
  <c r="AA6" i="6"/>
  <c r="AA5" i="6"/>
  <c r="AA4" i="6"/>
  <c r="AA3" i="6"/>
  <c r="AA2" i="6"/>
  <c r="Z33" i="5"/>
  <c r="Z17" i="1" s="1"/>
  <c r="Y33" i="5"/>
  <c r="Y17" i="1" s="1"/>
  <c r="X33" i="5"/>
  <c r="X17" i="1" s="1"/>
  <c r="W33" i="5"/>
  <c r="W17" i="1" s="1"/>
  <c r="V33" i="5"/>
  <c r="V17" i="1" s="1"/>
  <c r="U33" i="5"/>
  <c r="U17" i="1" s="1"/>
  <c r="T33" i="5"/>
  <c r="T17" i="1" s="1"/>
  <c r="S33" i="5"/>
  <c r="S17" i="1" s="1"/>
  <c r="R33" i="5"/>
  <c r="R17" i="1" s="1"/>
  <c r="Q33" i="5"/>
  <c r="Q17" i="1" s="1"/>
  <c r="P33" i="5"/>
  <c r="P17" i="1" s="1"/>
  <c r="O33" i="5"/>
  <c r="O17" i="1" s="1"/>
  <c r="N33" i="5"/>
  <c r="N17" i="1" s="1"/>
  <c r="M33" i="5"/>
  <c r="M17" i="1" s="1"/>
  <c r="L33" i="5"/>
  <c r="L17" i="1" s="1"/>
  <c r="K33" i="5"/>
  <c r="K17" i="1" s="1"/>
  <c r="J33" i="5"/>
  <c r="J17" i="1" s="1"/>
  <c r="I33" i="5"/>
  <c r="I17" i="1" s="1"/>
  <c r="H33" i="5"/>
  <c r="H17" i="1" s="1"/>
  <c r="G33" i="5"/>
  <c r="G17" i="1" s="1"/>
  <c r="F33" i="5"/>
  <c r="F17" i="1" s="1"/>
  <c r="E33" i="5"/>
  <c r="E17" i="1" s="1"/>
  <c r="D33" i="5"/>
  <c r="D17" i="1" s="1"/>
  <c r="C33" i="5"/>
  <c r="C17" i="1" s="1"/>
  <c r="B33" i="5"/>
  <c r="B17" i="1" s="1"/>
  <c r="AA32" i="5"/>
  <c r="AA31" i="5"/>
  <c r="AA30" i="5"/>
  <c r="AA29" i="5"/>
  <c r="AA28" i="5"/>
  <c r="AA27" i="5"/>
  <c r="AA26" i="5"/>
  <c r="AA25" i="5"/>
  <c r="AA24" i="5"/>
  <c r="AA23" i="5"/>
  <c r="AA22" i="5"/>
  <c r="AA21" i="5"/>
  <c r="AA20" i="5"/>
  <c r="AA19" i="5"/>
  <c r="AA18" i="5"/>
  <c r="AA17" i="5"/>
  <c r="AA16" i="5"/>
  <c r="AA15" i="5"/>
  <c r="AA14" i="5"/>
  <c r="AA13" i="5"/>
  <c r="AA12" i="5"/>
  <c r="AA11" i="5"/>
  <c r="AA10" i="5"/>
  <c r="AA9" i="5"/>
  <c r="AA8" i="5"/>
  <c r="AA7" i="5"/>
  <c r="AA6" i="5"/>
  <c r="AA5" i="5"/>
  <c r="AA4" i="5"/>
  <c r="AA3" i="5"/>
  <c r="AA2" i="5"/>
  <c r="AA33" i="5" s="1"/>
  <c r="AA17" i="1" s="1"/>
  <c r="Z33" i="4"/>
  <c r="Z16" i="1" s="1"/>
  <c r="Y33" i="4"/>
  <c r="Y16" i="1" s="1"/>
  <c r="X33" i="4"/>
  <c r="X16" i="1" s="1"/>
  <c r="W33" i="4"/>
  <c r="W16" i="1" s="1"/>
  <c r="V33" i="4"/>
  <c r="V16" i="1" s="1"/>
  <c r="U33" i="4"/>
  <c r="U16" i="1" s="1"/>
  <c r="T33" i="4"/>
  <c r="T16" i="1" s="1"/>
  <c r="S33" i="4"/>
  <c r="S16" i="1" s="1"/>
  <c r="R33" i="4"/>
  <c r="R16" i="1" s="1"/>
  <c r="Q33" i="4"/>
  <c r="Q16" i="1" s="1"/>
  <c r="P33" i="4"/>
  <c r="P16" i="1" s="1"/>
  <c r="O33" i="4"/>
  <c r="O16" i="1" s="1"/>
  <c r="N33" i="4"/>
  <c r="N16" i="1" s="1"/>
  <c r="M33" i="4"/>
  <c r="M16" i="1" s="1"/>
  <c r="L33" i="4"/>
  <c r="L16" i="1" s="1"/>
  <c r="K33" i="4"/>
  <c r="K16" i="1" s="1"/>
  <c r="J33" i="4"/>
  <c r="J16" i="1" s="1"/>
  <c r="I33" i="4"/>
  <c r="I16" i="1" s="1"/>
  <c r="H33" i="4"/>
  <c r="H16" i="1" s="1"/>
  <c r="G33" i="4"/>
  <c r="G16" i="1" s="1"/>
  <c r="F33" i="4"/>
  <c r="F16" i="1" s="1"/>
  <c r="E33" i="4"/>
  <c r="E16" i="1" s="1"/>
  <c r="D33" i="4"/>
  <c r="D16" i="1" s="1"/>
  <c r="C33" i="4"/>
  <c r="C16" i="1" s="1"/>
  <c r="B33" i="4"/>
  <c r="B16" i="1" s="1"/>
  <c r="AA32" i="4"/>
  <c r="AA31" i="4"/>
  <c r="AA30" i="4"/>
  <c r="AA29" i="4"/>
  <c r="AA33" i="4" s="1"/>
  <c r="AA16" i="1" s="1"/>
  <c r="AA28" i="4"/>
  <c r="AA27" i="4"/>
  <c r="AA26" i="4"/>
  <c r="AA25" i="4"/>
  <c r="AA24" i="4"/>
  <c r="AA23" i="4"/>
  <c r="AA22" i="4"/>
  <c r="AA21" i="4"/>
  <c r="AA20" i="4"/>
  <c r="AA19" i="4"/>
  <c r="AA18" i="4"/>
  <c r="AA17" i="4"/>
  <c r="AA16" i="4"/>
  <c r="AA15" i="4"/>
  <c r="AA14" i="4"/>
  <c r="AA13" i="4"/>
  <c r="AA12" i="4"/>
  <c r="AA11" i="4"/>
  <c r="AA10" i="4"/>
  <c r="AA9" i="4"/>
  <c r="AA8" i="4"/>
  <c r="AA7" i="4"/>
  <c r="AA6" i="4"/>
  <c r="AA5" i="4"/>
  <c r="AA4" i="4"/>
  <c r="AA3" i="4"/>
  <c r="AA2" i="4"/>
  <c r="Z32" i="3"/>
  <c r="Z15" i="1" s="1"/>
  <c r="Y32" i="3"/>
  <c r="Y15" i="1" s="1"/>
  <c r="X32" i="3"/>
  <c r="X15" i="1" s="1"/>
  <c r="W32" i="3"/>
  <c r="W15" i="1" s="1"/>
  <c r="V32" i="3"/>
  <c r="V15" i="1" s="1"/>
  <c r="U32" i="3"/>
  <c r="U15" i="1" s="1"/>
  <c r="T32" i="3"/>
  <c r="T15" i="1" s="1"/>
  <c r="S32" i="3"/>
  <c r="S15" i="1" s="1"/>
  <c r="R32" i="3"/>
  <c r="R15" i="1" s="1"/>
  <c r="Q32" i="3"/>
  <c r="Q15" i="1" s="1"/>
  <c r="P32" i="3"/>
  <c r="P15" i="1" s="1"/>
  <c r="O32" i="3"/>
  <c r="O15" i="1" s="1"/>
  <c r="N32" i="3"/>
  <c r="N15" i="1" s="1"/>
  <c r="M32" i="3"/>
  <c r="M15" i="1" s="1"/>
  <c r="L32" i="3"/>
  <c r="L15" i="1" s="1"/>
  <c r="K32" i="3"/>
  <c r="K15" i="1" s="1"/>
  <c r="J32" i="3"/>
  <c r="J15" i="1" s="1"/>
  <c r="I32" i="3"/>
  <c r="I15" i="1" s="1"/>
  <c r="H32" i="3"/>
  <c r="H15" i="1" s="1"/>
  <c r="G32" i="3"/>
  <c r="G15" i="1" s="1"/>
  <c r="F32" i="3"/>
  <c r="F15" i="1" s="1"/>
  <c r="E32" i="3"/>
  <c r="E15" i="1" s="1"/>
  <c r="D32" i="3"/>
  <c r="D15" i="1" s="1"/>
  <c r="C32" i="3"/>
  <c r="C15" i="1" s="1"/>
  <c r="B32" i="3"/>
  <c r="B15" i="1" s="1"/>
  <c r="AA31" i="3"/>
  <c r="AA30" i="3"/>
  <c r="AA29" i="3"/>
  <c r="AA28" i="3"/>
  <c r="AA27" i="3"/>
  <c r="AA26" i="3"/>
  <c r="AA25" i="3"/>
  <c r="AA24" i="3"/>
  <c r="AA23" i="3"/>
  <c r="AA22" i="3"/>
  <c r="AA21" i="3"/>
  <c r="AA20" i="3"/>
  <c r="AA19" i="3"/>
  <c r="AA18" i="3"/>
  <c r="AA17" i="3"/>
  <c r="AA16" i="3"/>
  <c r="AA15" i="3"/>
  <c r="AA14" i="3"/>
  <c r="AA13" i="3"/>
  <c r="AA12" i="3"/>
  <c r="AA11" i="3"/>
  <c r="AA10" i="3"/>
  <c r="AA9" i="3"/>
  <c r="AA8" i="3"/>
  <c r="AA7" i="3"/>
  <c r="AA6" i="3"/>
  <c r="AA5" i="3"/>
  <c r="AA4" i="3"/>
  <c r="AA3" i="3"/>
  <c r="AA2" i="3"/>
  <c r="AA32" i="3" s="1"/>
  <c r="AA15" i="1" s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A30" i="1" s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A28" i="1" s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A27" i="1" s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A10" i="1"/>
  <c r="AA9" i="1"/>
  <c r="AA8" i="1"/>
  <c r="AA7" i="1"/>
  <c r="AA6" i="1"/>
  <c r="AA5" i="1"/>
  <c r="AA4" i="1"/>
  <c r="AA3" i="1"/>
  <c r="AF3" i="1" s="1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3" i="2"/>
  <c r="AA12" i="2"/>
  <c r="AA11" i="2"/>
  <c r="AA10" i="2"/>
  <c r="AA9" i="2"/>
  <c r="AA7" i="2"/>
  <c r="AA6" i="2"/>
  <c r="AA5" i="2"/>
  <c r="AA4" i="2"/>
  <c r="AA3" i="2"/>
  <c r="AA2" i="2"/>
  <c r="AA32" i="1" l="1"/>
  <c r="AA31" i="1"/>
  <c r="AA26" i="1"/>
  <c r="C54" i="1"/>
  <c r="K39" i="1"/>
  <c r="M38" i="1"/>
  <c r="L38" i="1"/>
  <c r="AA33" i="2"/>
  <c r="AA14" i="1" s="1"/>
  <c r="Z14" i="1"/>
  <c r="Z25" i="1"/>
  <c r="Z33" i="1" s="1"/>
  <c r="Y14" i="1"/>
  <c r="Y25" i="1"/>
  <c r="Y33" i="1" s="1"/>
  <c r="X14" i="1"/>
  <c r="X25" i="1"/>
  <c r="X33" i="1" s="1"/>
  <c r="W14" i="1"/>
  <c r="W25" i="1"/>
  <c r="W33" i="1" s="1"/>
  <c r="V14" i="1"/>
  <c r="V25" i="1"/>
  <c r="V33" i="1" s="1"/>
  <c r="U14" i="1"/>
  <c r="U25" i="1"/>
  <c r="U33" i="1" s="1"/>
  <c r="T14" i="1"/>
  <c r="T25" i="1"/>
  <c r="T33" i="1" s="1"/>
  <c r="S14" i="1"/>
  <c r="S25" i="1"/>
  <c r="S33" i="1" s="1"/>
  <c r="R14" i="1"/>
  <c r="R25" i="1"/>
  <c r="R33" i="1" s="1"/>
  <c r="Q14" i="1"/>
  <c r="Q25" i="1"/>
  <c r="Q33" i="1" s="1"/>
  <c r="P14" i="1"/>
  <c r="P25" i="1"/>
  <c r="P33" i="1" s="1"/>
  <c r="O14" i="1"/>
  <c r="O25" i="1"/>
  <c r="O33" i="1" s="1"/>
  <c r="N14" i="1"/>
  <c r="N25" i="1"/>
  <c r="N33" i="1" s="1"/>
  <c r="M14" i="1"/>
  <c r="M25" i="1"/>
  <c r="M33" i="1" s="1"/>
  <c r="L14" i="1"/>
  <c r="L25" i="1"/>
  <c r="L33" i="1" s="1"/>
  <c r="K14" i="1"/>
  <c r="K25" i="1"/>
  <c r="K33" i="1" s="1"/>
  <c r="J14" i="1"/>
  <c r="J25" i="1"/>
  <c r="J33" i="1" s="1"/>
  <c r="I14" i="1"/>
  <c r="I25" i="1"/>
  <c r="I33" i="1" s="1"/>
  <c r="H14" i="1"/>
  <c r="H25" i="1"/>
  <c r="H33" i="1" s="1"/>
  <c r="G14" i="1"/>
  <c r="G25" i="1"/>
  <c r="G33" i="1" s="1"/>
  <c r="F14" i="1"/>
  <c r="F25" i="1"/>
  <c r="F33" i="1" s="1"/>
  <c r="E14" i="1"/>
  <c r="E25" i="1"/>
  <c r="E29" i="1"/>
  <c r="E18" i="1"/>
  <c r="D18" i="1"/>
  <c r="D29" i="1"/>
  <c r="C18" i="1"/>
  <c r="C29" i="1"/>
  <c r="B18" i="1"/>
  <c r="B29" i="1"/>
  <c r="AA29" i="1" s="1"/>
  <c r="AB10" i="1"/>
  <c r="AD10" i="1" s="1"/>
  <c r="AG10" i="1"/>
  <c r="AF10" i="1"/>
  <c r="AG9" i="1"/>
  <c r="AF9" i="1"/>
  <c r="AB9" i="1"/>
  <c r="AD9" i="1" s="1"/>
  <c r="AG8" i="1"/>
  <c r="AF8" i="1"/>
  <c r="AH8" i="1" s="1"/>
  <c r="AB8" i="1"/>
  <c r="AD8" i="1" s="1"/>
  <c r="AB7" i="1"/>
  <c r="AD7" i="1" s="1"/>
  <c r="AF7" i="1"/>
  <c r="AG7" i="1"/>
  <c r="AG6" i="1"/>
  <c r="AF6" i="1"/>
  <c r="AH6" i="1" s="1"/>
  <c r="AB6" i="1"/>
  <c r="AD6" i="1" s="1"/>
  <c r="AG5" i="1"/>
  <c r="AF5" i="1"/>
  <c r="AH5" i="1" s="1"/>
  <c r="AB5" i="1"/>
  <c r="AD5" i="1" s="1"/>
  <c r="AG4" i="1"/>
  <c r="AF4" i="1"/>
  <c r="AB4" i="1"/>
  <c r="AD4" i="1" s="1"/>
  <c r="AG3" i="1"/>
  <c r="AB3" i="1"/>
  <c r="AD3" i="1" s="1"/>
  <c r="D25" i="1"/>
  <c r="D33" i="1" s="1"/>
  <c r="D14" i="1"/>
  <c r="C14" i="1"/>
  <c r="C25" i="1"/>
  <c r="C33" i="1" s="1"/>
  <c r="B25" i="1"/>
  <c r="B14" i="1"/>
  <c r="AH4" i="1" l="1"/>
  <c r="AH7" i="1"/>
  <c r="E33" i="1"/>
  <c r="B33" i="1"/>
  <c r="AA25" i="1"/>
  <c r="AH10" i="1"/>
  <c r="AH3" i="1"/>
  <c r="AH9" i="1"/>
  <c r="AA33" i="1" l="1"/>
</calcChain>
</file>

<file path=xl/sharedStrings.xml><?xml version="1.0" encoding="utf-8"?>
<sst xmlns="http://schemas.openxmlformats.org/spreadsheetml/2006/main" count="370" uniqueCount="63">
  <si>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</si>
  <si>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</si>
  <si>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</si>
  <si>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</si>
  <si>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</si>
  <si>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</si>
  <si>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</si>
  <si>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</si>
  <si>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</si>
  <si>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</si>
  <si>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</si>
  <si>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</si>
  <si>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</si>
  <si>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</si>
  <si>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</si>
  <si>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</si>
  <si>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</si>
  <si>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</si>
  <si>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</si>
  <si>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</si>
  <si>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</si>
  <si>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</si>
  <si>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</si>
  <si>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</si>
  <si>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</si>
  <si>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Suscripciones</t>
  </si>
  <si>
    <t>Extra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</si>
  <si>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</si>
  <si>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</si>
  <si>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</si>
  <si>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</si>
  <si>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</si>
  <si>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</si>
  <si>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</si>
  <si>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</si>
  <si>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</si>
  <si>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</si>
  <si>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</si>
  <si>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</si>
  <si>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</si>
  <si>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</si>
  <si>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</si>
  <si>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</si>
  <si>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</si>
  <si>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</si>
  <si>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</si>
  <si>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</si>
  <si>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</si>
  <si>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</si>
  <si>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Observaciones</t>
  </si>
  <si>
    <t>Total</t>
  </si>
  <si>
    <t>Objetivo</t>
  </si>
  <si>
    <t>Sofi</t>
  </si>
  <si>
    <t>Nico</t>
  </si>
  <si>
    <t>Fondo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</si>
  <si>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</si>
  <si>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</si>
  <si>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</si>
  <si>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</si>
  <si>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</si>
  <si>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</si>
  <si>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</si>
  <si>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Uniforme Roci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</si>
</sst>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d/mm/yyyy"/>
  </numFmts>
  <fonts count="11" x14ac:knownFonts="1">
    <font>
      <sz val="11"/>
      <color theme="1"/>
      <name val="Calibri"/>
      <family val="2"/>
      <charset val="1"/>
    </font>
    <font>
      <b/>
      <sz val="11"/>
      <name val="Cambria"/>
      <family val="1"/>
    </font>
    <font>
      <b/>
      <sz val="11"/>
      <color rgb="FFAD1457"/>
      <name val="Cambria"/>
      <family val="1"/>
    </font>
    <font>
      <b/>
      <sz val="11"/>
      <color rgb="FF1565C0"/>
      <name val="Cambria"/>
      <family val="1"/>
    </font>
    <font>
      <b/>
      <sz val="11"/>
      <color rgb="FF2E7D32"/>
      <name val="Cambria"/>
      <family val="1"/>
    </font>
    <font>
      <b/>
      <sz val="11"/>
      <color rgb="FFFFFFFF"/>
      <name val="Cambria"/>
      <family val="1"/>
    </font>
    <font>
      <b/>
      <sz val="12"/>
      <name val="Cambria"/>
      <family val="1"/>
    </font>
    <font>
      <b/>
      <sz val="11"/>
      <color rgb="FF0284C7"/>
      <name val="Cambria"/>
      <family val="1"/>
    </font>
    <font>
      <i/>
      <sz val="11"/>
      <color rgb="FF555555"/>
      <name val="Cambria"/>
      <family val="1"/>
    </font>
    <font>
      <b/>
      <sz val="11"/>
      <color rgb="FFC62828"/>
      <name val="Cambria"/>
      <family val="1"/>
    </font>
    <font>
      <b/>
      <sz val="11"/>
      <color rgb="FF1B5E20"/>
      <name val="Cambria"/>
      <family val="1"/>
    </font>
  </fonts>
  <fills count="15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8F5E9"/>
      </patternFill>
    </fill>
    <fill>
      <patternFill patternType="solid">
        <fgColor rgb="FFE8F5E9"/>
        <bgColor rgb="FFE3F2FD"/>
      </patternFill>
    </fill>
    <fill>
      <patternFill patternType="solid">
        <fgColor theme="9" tint="0.39988402966399123"/>
        <bgColor rgb="FFBFBFBF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D9E1F2"/>
        <bgColor rgb="FFE3F2FD"/>
      </patternFill>
    </fill>
    <fill>
      <patternFill patternType="solid">
        <fgColor rgb="FF4472C4"/>
        <bgColor rgb="FF666699"/>
      </patternFill>
    </fill>
    <fill>
      <patternFill patternType="solid">
        <fgColor rgb="FF2E7D32"/>
        <bgColor rgb="FF276221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1" fillId="5" borderId="1" xfId="0" applyFont="1" applyFill="1" applyBorder="1" applyAlignment="1">
      <alignment horizontal="center" wrapText="1"/>
    </xf>
    <xf numFmtId="1" fontId="0" fillId="0" borderId="0" xfId="0" applyNumberFormat="1" applyAlignment="1">
      <alignment horizontal="center"/>
    </xf>
    <xf numFmtId="0" fontId="2" fillId="3" borderId="1" xfId="0" applyFont="1" applyFill="1" applyBorder="1"/>
    <xf numFmtId="0" fontId="3" fillId="4" borderId="1" xfId="0" applyFont="1" applyFill="1" applyBorder="1"/>
    <xf numFmtId="0" fontId="4" fillId="5" borderId="1" xfId="0" applyFont="1" applyFill="1" applyBorder="1"/>
    <xf numFmtId="0" fontId="1" fillId="0" borderId="1" xfId="0" applyFont="1" applyBorder="1" applyAlignment="1">
      <alignment horizontal="center" wrapText="1"/>
    </xf>
    <xf numFmtId="0" fontId="1" fillId="8" borderId="1" xfId="0" applyFont="1" applyFill="1" applyBorder="1"/>
    <xf numFmtId="0" fontId="1" fillId="8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8" borderId="1" xfId="0" applyFill="1" applyBorder="1"/>
    <xf numFmtId="0" fontId="6" fillId="5" borderId="0" xfId="0" applyFont="1" applyFill="1"/>
    <xf numFmtId="0" fontId="5" fillId="10" borderId="1" xfId="0" applyFont="1" applyFill="1" applyBorder="1" applyAlignment="1">
      <alignment horizontal="center" wrapText="1"/>
    </xf>
    <xf numFmtId="0" fontId="1" fillId="5" borderId="1" xfId="0" applyFont="1" applyFill="1" applyBorder="1"/>
    <xf numFmtId="3" fontId="1" fillId="5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4" fillId="5" borderId="1" xfId="0" applyNumberFormat="1" applyFont="1" applyFill="1" applyBorder="1"/>
    <xf numFmtId="3" fontId="7" fillId="12" borderId="1" xfId="0" applyNumberFormat="1" applyFont="1" applyFill="1" applyBorder="1"/>
    <xf numFmtId="0" fontId="8" fillId="0" borderId="0" xfId="0" applyFont="1"/>
    <xf numFmtId="164" fontId="1" fillId="5" borderId="1" xfId="0" applyNumberFormat="1" applyFont="1" applyFill="1" applyBorder="1"/>
    <xf numFmtId="0" fontId="1" fillId="13" borderId="0" xfId="0" applyFont="1" applyFill="1"/>
    <xf numFmtId="0" fontId="5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1" fillId="13" borderId="1" xfId="0" applyFont="1" applyFill="1" applyBorder="1"/>
    <xf numFmtId="0" fontId="0" fillId="13" borderId="1" xfId="0" applyFill="1" applyBorder="1"/>
    <xf numFmtId="3" fontId="9" fillId="13" borderId="1" xfId="0" applyNumberFormat="1" applyFont="1" applyFill="1" applyBorder="1"/>
    <xf numFmtId="0" fontId="0" fillId="5" borderId="1" xfId="0" applyFill="1" applyBorder="1"/>
    <xf numFmtId="3" fontId="10" fillId="5" borderId="1" xfId="0" applyNumberFormat="1" applyFont="1" applyFill="1" applyBorder="1"/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76221"/>
      <rgbColor rgb="FF000080"/>
      <rgbColor rgb="FF808000"/>
      <rgbColor rgb="FF800080"/>
      <rgbColor rgb="FF008080"/>
      <rgbColor rgb="FFBFBFBF"/>
      <rgbColor rgb="FF808080"/>
      <rgbColor rgb="FF9999FF"/>
      <rgbColor rgb="FFAD1457"/>
      <rgbColor rgb="FFE8F5E9"/>
      <rgbColor rgb="FFE3F2FD"/>
      <rgbColor rgb="FF660066"/>
      <rgbColor rgb="FFFF8080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EC"/>
      <rgbColor rgb="FFC6EFCE"/>
      <rgbColor rgb="FFFFEB9C"/>
      <rgbColor rgb="FF9DC3E6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666699"/>
      <rgbColor rgb="FFA9D18E"/>
      <rgbColor rgb="FF003366"/>
      <rgbColor rgb="FF2E7D32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4"/>
  <sheetViews>
    <sheetView tabSelected="1" topLeftCell="A14" zoomScaleNormal="100" workbookViewId="0">
      <selection activeCell="J33" sqref="J33"/>
    </sheetView>
  </sheetViews>
  <sheetFormatPr baseColWidth="10" defaultColWidth="9.140625" defaultRowHeight="15" x14ac:dyDescent="0.25"/>
  <cols>
    <col min="1" max="1" width="14.42578125" style="1" bestFit="1" customWidth="1"/>
    <col min="2" max="2" width="13.28515625" style="1" bestFit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0" width="14" style="1" customWidth="1"/>
    <col min="11" max="11" width="13.42578125" style="1" customWidth="1"/>
    <col min="12" max="12" width="18.5703125" style="1" customWidth="1"/>
    <col min="13" max="13" width="10.42578125" style="1" customWidth="1"/>
    <col min="14" max="14" width="12.7109375" style="1" customWidth="1"/>
    <col min="15" max="15" width="11.140625" style="1" customWidth="1"/>
    <col min="16" max="19" width="9.140625" style="1"/>
    <col min="20" max="20" width="17.85546875" style="1" customWidth="1"/>
    <col min="21" max="21" width="10.5703125" style="1" customWidth="1"/>
    <col min="22" max="22" width="9.7109375" style="1" customWidth="1"/>
    <col min="23" max="23" width="15" style="1" customWidth="1"/>
    <col min="24" max="24" width="9.140625" style="1"/>
    <col min="25" max="25" width="13" style="1" customWidth="1"/>
    <col min="26" max="26" width="9.140625" style="1"/>
    <col min="27" max="27" width="12" style="1" customWidth="1"/>
    <col min="28" max="16384" width="9.140625" style="1"/>
  </cols>
  <sheetData>
    <row r="1" spans="1:34" ht="15" customHeight="1" x14ac:dyDescent="0.25">
      <c r="A1" s="35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</row>
    <row r="2" spans="1:34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1" t="s">
        <v>28</v>
      </c>
      <c r="AC2" s="1" t="s">
        <v>29</v>
      </c>
      <c r="AD2" s="1" t="s">
        <v>30</v>
      </c>
      <c r="AE2" s="1" t="s">
        <v>31</v>
      </c>
      <c r="AF2" s="2" t="s">
        <v>32</v>
      </c>
      <c r="AG2" s="3" t="s">
        <v>33</v>
      </c>
      <c r="AH2" s="4" t="s">
        <v>34</v>
      </c>
    </row>
    <row r="3" spans="1:34" ht="15" customHeight="1" x14ac:dyDescent="0.25">
      <c r="A3" s="1" t="s">
        <v>35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18100</v>
      </c>
      <c r="L3" s="1">
        <v>10000</v>
      </c>
      <c r="M3" s="1">
        <v>850</v>
      </c>
      <c r="N3" s="1">
        <v>10000</v>
      </c>
      <c r="O3" s="1">
        <v>1800</v>
      </c>
      <c r="P3" s="1">
        <v>2500</v>
      </c>
      <c r="Q3" s="1">
        <v>20000</v>
      </c>
      <c r="R3" s="1">
        <v>2500</v>
      </c>
      <c r="S3" s="1">
        <v>5000</v>
      </c>
      <c r="V3" s="1">
        <v>3000</v>
      </c>
      <c r="W3" s="1">
        <v>1500</v>
      </c>
      <c r="X3" s="1">
        <v>2000</v>
      </c>
      <c r="Y3" s="1">
        <v>750</v>
      </c>
      <c r="Z3" s="1">
        <v>4000</v>
      </c>
      <c r="AA3" s="1">
        <f t="shared" ref="AA3:AA10" si="0">SUM(B3:Z3)</f>
        <v>142700</v>
      </c>
      <c r="AB3" s="5">
        <f t="shared" ref="AB3:AB10" si="1">+AA3/2</f>
        <v>71350</v>
      </c>
      <c r="AC3" s="1">
        <v>10000</v>
      </c>
      <c r="AD3" s="5">
        <f t="shared" ref="AD3:AD10" si="2">+AE3-AB3-AC3</f>
        <v>13650</v>
      </c>
      <c r="AE3" s="1">
        <v>95000</v>
      </c>
      <c r="AF3" s="6">
        <f>AA3/2-L3</f>
        <v>61350</v>
      </c>
      <c r="AG3" s="7">
        <f t="shared" ref="AG3:AG10" si="3">AA3/2-D3</f>
        <v>55850</v>
      </c>
      <c r="AH3" s="8">
        <f t="shared" ref="AH3:AH10" si="4">AF3+AG3</f>
        <v>117200</v>
      </c>
    </row>
    <row r="4" spans="1:34" ht="15" customHeight="1" x14ac:dyDescent="0.25">
      <c r="A4" s="1" t="s">
        <v>36</v>
      </c>
      <c r="D4" s="1">
        <v>15500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7500</v>
      </c>
      <c r="L4" s="1">
        <v>7500</v>
      </c>
      <c r="M4" s="1">
        <v>850</v>
      </c>
      <c r="N4" s="1">
        <v>10000</v>
      </c>
      <c r="O4" s="1">
        <v>1800</v>
      </c>
      <c r="P4" s="1">
        <v>2500</v>
      </c>
      <c r="Q4" s="1">
        <v>20000</v>
      </c>
      <c r="R4" s="1">
        <v>2500</v>
      </c>
      <c r="S4" s="1">
        <v>5000</v>
      </c>
      <c r="T4" s="1">
        <v>9000</v>
      </c>
      <c r="V4" s="1">
        <v>3000</v>
      </c>
      <c r="W4" s="1">
        <v>1500</v>
      </c>
      <c r="X4" s="1">
        <v>2000</v>
      </c>
      <c r="Y4" s="1">
        <v>750</v>
      </c>
      <c r="Z4" s="1">
        <v>4000</v>
      </c>
      <c r="AA4" s="1">
        <f t="shared" si="0"/>
        <v>148000</v>
      </c>
      <c r="AB4" s="5">
        <f t="shared" si="1"/>
        <v>74000</v>
      </c>
      <c r="AC4" s="1">
        <v>10000</v>
      </c>
      <c r="AD4" s="5">
        <f t="shared" si="2"/>
        <v>11000</v>
      </c>
      <c r="AE4" s="1">
        <v>95000</v>
      </c>
      <c r="AF4" s="6">
        <f t="shared" ref="AF4:AF10" si="5">AA4/2-L4</f>
        <v>66500</v>
      </c>
      <c r="AG4" s="7">
        <f t="shared" si="3"/>
        <v>58500</v>
      </c>
      <c r="AH4" s="8">
        <f t="shared" si="4"/>
        <v>125000</v>
      </c>
    </row>
    <row r="5" spans="1:34" ht="15" customHeight="1" x14ac:dyDescent="0.25">
      <c r="A5" s="1" t="s">
        <v>37</v>
      </c>
      <c r="C5" s="1">
        <v>4369</v>
      </c>
      <c r="D5" s="1">
        <v>15500</v>
      </c>
      <c r="E5" s="1">
        <v>10600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v>7500</v>
      </c>
      <c r="L5" s="1">
        <v>7500</v>
      </c>
      <c r="N5" s="1">
        <v>10000</v>
      </c>
      <c r="O5" s="1">
        <v>1800</v>
      </c>
      <c r="P5" s="1">
        <v>2500</v>
      </c>
      <c r="Q5" s="1">
        <v>20000</v>
      </c>
      <c r="R5" s="1">
        <v>2500</v>
      </c>
      <c r="S5" s="1">
        <v>5000</v>
      </c>
      <c r="U5" s="1">
        <v>1500</v>
      </c>
      <c r="V5" s="1">
        <v>3000</v>
      </c>
      <c r="W5" s="1">
        <v>1500</v>
      </c>
      <c r="X5" s="1">
        <v>2000</v>
      </c>
      <c r="Y5" s="1">
        <v>750</v>
      </c>
      <c r="Z5" s="1">
        <v>4000</v>
      </c>
      <c r="AA5" s="1">
        <f t="shared" si="0"/>
        <v>134619</v>
      </c>
      <c r="AB5" s="5">
        <f t="shared" si="1"/>
        <v>67309.5</v>
      </c>
      <c r="AC5" s="1">
        <v>10000</v>
      </c>
      <c r="AD5" s="5">
        <f t="shared" si="2"/>
        <v>17690.5</v>
      </c>
      <c r="AE5" s="1">
        <v>95000</v>
      </c>
      <c r="AF5" s="6">
        <f t="shared" si="5"/>
        <v>59809.5</v>
      </c>
      <c r="AG5" s="7">
        <f t="shared" si="3"/>
        <v>51809.5</v>
      </c>
      <c r="AH5" s="8">
        <f t="shared" si="4"/>
        <v>111619</v>
      </c>
    </row>
    <row r="6" spans="1:34" ht="15" customHeight="1" x14ac:dyDescent="0.25">
      <c r="A6" s="1" t="s">
        <v>38</v>
      </c>
      <c r="D6" s="1">
        <v>15500</v>
      </c>
      <c r="E6" s="1">
        <v>10600</v>
      </c>
      <c r="F6" s="1">
        <v>26100</v>
      </c>
      <c r="G6" s="1">
        <v>1000</v>
      </c>
      <c r="H6" s="1">
        <v>3500</v>
      </c>
      <c r="I6" s="1">
        <v>3000</v>
      </c>
      <c r="J6" s="1">
        <v>1000</v>
      </c>
      <c r="K6" s="1">
        <v>7500</v>
      </c>
      <c r="L6" s="1">
        <v>7500</v>
      </c>
      <c r="N6" s="1">
        <v>10000</v>
      </c>
      <c r="O6" s="1">
        <v>1800</v>
      </c>
      <c r="P6" s="1">
        <v>2500</v>
      </c>
      <c r="Q6" s="1">
        <v>20000</v>
      </c>
      <c r="R6" s="1">
        <v>2500</v>
      </c>
      <c r="S6" s="1">
        <v>5000</v>
      </c>
      <c r="V6" s="1">
        <v>3000</v>
      </c>
      <c r="W6" s="1">
        <v>1500</v>
      </c>
      <c r="X6" s="1">
        <v>2000</v>
      </c>
      <c r="Y6" s="1">
        <v>750</v>
      </c>
      <c r="Z6" s="1">
        <v>4000</v>
      </c>
      <c r="AA6" s="1">
        <f t="shared" si="0"/>
        <v>128750</v>
      </c>
      <c r="AB6" s="5">
        <f t="shared" si="1"/>
        <v>64375</v>
      </c>
      <c r="AC6" s="1">
        <v>10000</v>
      </c>
      <c r="AD6" s="5">
        <f t="shared" si="2"/>
        <v>20625</v>
      </c>
      <c r="AE6" s="1">
        <v>95000</v>
      </c>
      <c r="AF6" s="6">
        <f t="shared" si="5"/>
        <v>56875</v>
      </c>
      <c r="AG6" s="7">
        <f t="shared" si="3"/>
        <v>48875</v>
      </c>
      <c r="AH6" s="8">
        <f t="shared" si="4"/>
        <v>105750</v>
      </c>
    </row>
    <row r="7" spans="1:34" ht="15" customHeight="1" x14ac:dyDescent="0.25">
      <c r="A7" s="1" t="s">
        <v>39</v>
      </c>
      <c r="B7" s="1">
        <v>25000</v>
      </c>
      <c r="C7" s="1">
        <v>4369</v>
      </c>
      <c r="D7" s="1">
        <v>15500</v>
      </c>
      <c r="E7" s="1">
        <v>10600</v>
      </c>
      <c r="F7" s="1">
        <v>26100</v>
      </c>
      <c r="G7" s="1">
        <v>1000</v>
      </c>
      <c r="H7" s="1">
        <v>3500</v>
      </c>
      <c r="I7" s="1">
        <v>3000</v>
      </c>
      <c r="J7" s="1">
        <v>1000</v>
      </c>
      <c r="K7" s="1">
        <v>7500</v>
      </c>
      <c r="L7" s="1">
        <v>7500</v>
      </c>
      <c r="N7" s="1">
        <v>10000</v>
      </c>
      <c r="O7" s="1">
        <v>1800</v>
      </c>
      <c r="P7" s="1">
        <v>2500</v>
      </c>
      <c r="Q7" s="1">
        <v>20000</v>
      </c>
      <c r="R7" s="1">
        <v>2500</v>
      </c>
      <c r="S7" s="1">
        <v>5000</v>
      </c>
      <c r="V7" s="1">
        <v>3000</v>
      </c>
      <c r="W7" s="1">
        <v>1500</v>
      </c>
      <c r="X7" s="1">
        <v>2000</v>
      </c>
      <c r="Y7" s="1">
        <v>750</v>
      </c>
      <c r="Z7" s="1">
        <v>4000</v>
      </c>
      <c r="AA7" s="1">
        <f t="shared" si="0"/>
        <v>158119</v>
      </c>
      <c r="AB7" s="5">
        <f t="shared" si="1"/>
        <v>79059.5</v>
      </c>
      <c r="AC7" s="1">
        <v>10000</v>
      </c>
      <c r="AD7" s="5">
        <f t="shared" si="2"/>
        <v>5940.5</v>
      </c>
      <c r="AE7" s="1">
        <v>95000</v>
      </c>
      <c r="AF7" s="6">
        <f t="shared" si="5"/>
        <v>71559.5</v>
      </c>
      <c r="AG7" s="7">
        <f t="shared" si="3"/>
        <v>63559.5</v>
      </c>
      <c r="AH7" s="8">
        <f t="shared" si="4"/>
        <v>135119</v>
      </c>
    </row>
    <row r="8" spans="1:34" ht="15" customHeight="1" x14ac:dyDescent="0.25">
      <c r="A8" s="1" t="s">
        <v>40</v>
      </c>
      <c r="D8" s="1">
        <v>15500</v>
      </c>
      <c r="E8" s="1">
        <v>10600</v>
      </c>
      <c r="F8" s="1">
        <v>26100</v>
      </c>
      <c r="G8" s="1">
        <v>1000</v>
      </c>
      <c r="H8" s="1">
        <v>3500</v>
      </c>
      <c r="I8" s="1">
        <v>3000</v>
      </c>
      <c r="J8" s="1">
        <v>1000</v>
      </c>
      <c r="K8" s="1">
        <v>7500</v>
      </c>
      <c r="L8" s="1">
        <v>7500</v>
      </c>
      <c r="N8" s="1">
        <v>10000</v>
      </c>
      <c r="O8" s="1">
        <v>3600</v>
      </c>
      <c r="P8" s="1">
        <v>2500</v>
      </c>
      <c r="Q8" s="1">
        <v>20000</v>
      </c>
      <c r="R8" s="1">
        <v>2500</v>
      </c>
      <c r="S8" s="1">
        <v>5000</v>
      </c>
      <c r="U8" s="1">
        <v>1500</v>
      </c>
      <c r="V8" s="1">
        <v>3000</v>
      </c>
      <c r="W8" s="1">
        <v>1500</v>
      </c>
      <c r="X8" s="1">
        <v>2000</v>
      </c>
      <c r="Y8" s="1">
        <v>750</v>
      </c>
      <c r="Z8" s="1">
        <v>4000</v>
      </c>
      <c r="AA8" s="1">
        <f t="shared" si="0"/>
        <v>132050</v>
      </c>
      <c r="AB8" s="5">
        <f t="shared" si="1"/>
        <v>66025</v>
      </c>
      <c r="AC8" s="1">
        <v>10000</v>
      </c>
      <c r="AD8" s="5">
        <f t="shared" si="2"/>
        <v>18975</v>
      </c>
      <c r="AE8" s="1">
        <v>95000</v>
      </c>
      <c r="AF8" s="6">
        <f t="shared" si="5"/>
        <v>58525</v>
      </c>
      <c r="AG8" s="7">
        <f t="shared" si="3"/>
        <v>50525</v>
      </c>
      <c r="AH8" s="8">
        <f t="shared" si="4"/>
        <v>109050</v>
      </c>
    </row>
    <row r="9" spans="1:34" ht="15" customHeight="1" x14ac:dyDescent="0.25">
      <c r="A9" s="1" t="s">
        <v>41</v>
      </c>
      <c r="C9" s="1">
        <v>4369</v>
      </c>
      <c r="D9" s="1">
        <v>15500</v>
      </c>
      <c r="E9" s="1">
        <v>10600</v>
      </c>
      <c r="F9" s="1">
        <v>26100</v>
      </c>
      <c r="G9" s="1">
        <v>1000</v>
      </c>
      <c r="H9" s="1">
        <v>3500</v>
      </c>
      <c r="I9" s="1">
        <v>3000</v>
      </c>
      <c r="J9" s="1">
        <v>1000</v>
      </c>
      <c r="K9" s="1">
        <v>7500</v>
      </c>
      <c r="L9" s="1">
        <v>7500</v>
      </c>
      <c r="N9" s="1">
        <v>10000</v>
      </c>
      <c r="O9" s="1">
        <v>3600</v>
      </c>
      <c r="P9" s="1">
        <v>2500</v>
      </c>
      <c r="Q9" s="1">
        <v>20000</v>
      </c>
      <c r="R9" s="1">
        <v>2500</v>
      </c>
      <c r="S9" s="1">
        <v>5000</v>
      </c>
      <c r="T9" s="1">
        <v>12000</v>
      </c>
      <c r="V9" s="1">
        <v>3000</v>
      </c>
      <c r="W9" s="1">
        <v>1500</v>
      </c>
      <c r="X9" s="1">
        <v>2000</v>
      </c>
      <c r="Y9" s="1">
        <v>750</v>
      </c>
      <c r="Z9" s="1">
        <v>4000</v>
      </c>
      <c r="AA9" s="1">
        <f t="shared" si="0"/>
        <v>146919</v>
      </c>
      <c r="AB9" s="5">
        <f t="shared" si="1"/>
        <v>73459.5</v>
      </c>
      <c r="AC9" s="1">
        <v>10000</v>
      </c>
      <c r="AD9" s="5">
        <f t="shared" si="2"/>
        <v>11540.5</v>
      </c>
      <c r="AE9" s="1">
        <v>95000</v>
      </c>
      <c r="AF9" s="6">
        <f t="shared" si="5"/>
        <v>65959.5</v>
      </c>
      <c r="AG9" s="7">
        <f t="shared" si="3"/>
        <v>57959.5</v>
      </c>
      <c r="AH9" s="8">
        <f t="shared" si="4"/>
        <v>123919</v>
      </c>
    </row>
    <row r="10" spans="1:34" ht="15" customHeight="1" x14ac:dyDescent="0.25">
      <c r="A10" s="1" t="s">
        <v>42</v>
      </c>
      <c r="D10" s="1">
        <v>15500</v>
      </c>
      <c r="E10" s="1">
        <v>10600</v>
      </c>
      <c r="F10" s="1">
        <v>45000</v>
      </c>
      <c r="G10" s="1">
        <v>1000</v>
      </c>
      <c r="H10" s="1">
        <v>3500</v>
      </c>
      <c r="I10" s="1">
        <v>3000</v>
      </c>
      <c r="J10" s="1">
        <v>1000</v>
      </c>
      <c r="K10" s="1">
        <v>7500</v>
      </c>
      <c r="L10" s="1">
        <v>7500</v>
      </c>
      <c r="N10" s="1">
        <v>10000</v>
      </c>
      <c r="O10" s="1">
        <v>3600</v>
      </c>
      <c r="P10" s="1">
        <v>2500</v>
      </c>
      <c r="Q10" s="1">
        <v>20000</v>
      </c>
      <c r="R10" s="1">
        <v>2500</v>
      </c>
      <c r="S10" s="1">
        <v>5000</v>
      </c>
      <c r="V10" s="1">
        <v>3000</v>
      </c>
      <c r="W10" s="1">
        <v>1500</v>
      </c>
      <c r="X10" s="1">
        <v>2000</v>
      </c>
      <c r="Y10" s="1">
        <v>750</v>
      </c>
      <c r="Z10" s="1">
        <v>4000</v>
      </c>
      <c r="AA10" s="1">
        <f t="shared" si="0"/>
        <v>149450</v>
      </c>
      <c r="AB10" s="5">
        <f t="shared" si="1"/>
        <v>74725</v>
      </c>
      <c r="AC10" s="1">
        <v>10000</v>
      </c>
      <c r="AD10" s="5">
        <f t="shared" si="2"/>
        <v>10275</v>
      </c>
      <c r="AE10" s="1">
        <v>95000</v>
      </c>
      <c r="AF10" s="6">
        <f t="shared" si="5"/>
        <v>67225</v>
      </c>
      <c r="AG10" s="7">
        <f t="shared" si="3"/>
        <v>59225</v>
      </c>
      <c r="AH10" s="8">
        <f t="shared" si="4"/>
        <v>126450</v>
      </c>
    </row>
    <row r="12" spans="1:34" ht="15" customHeight="1" x14ac:dyDescent="0.25">
      <c r="A12" s="36" t="s">
        <v>43</v>
      </c>
      <c r="B12" s="36"/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</row>
    <row r="13" spans="1:34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44</v>
      </c>
      <c r="U13" s="1" t="s">
        <v>21</v>
      </c>
      <c r="V13" s="1" t="s">
        <v>22</v>
      </c>
      <c r="W13" s="1" t="s">
        <v>45</v>
      </c>
      <c r="X13" s="1" t="s">
        <v>24</v>
      </c>
      <c r="Y13" s="1" t="s">
        <v>25</v>
      </c>
      <c r="Z13" s="1" t="s">
        <v>26</v>
      </c>
      <c r="AA13" s="1" t="s">
        <v>27</v>
      </c>
    </row>
    <row r="14" spans="1:34" ht="15" customHeight="1" x14ac:dyDescent="0.25">
      <c r="A14" s="1" t="s">
        <v>35</v>
      </c>
      <c r="B14" s="1" t="str">
        <f>IF(Mayo!B33&gt;0,Mayo!B33,"")</f>
        <v/>
      </c>
      <c r="C14" s="1" t="str">
        <f>IF(Mayo!C33&gt;0,Mayo!C33,"")</f>
        <v/>
      </c>
      <c r="D14" s="1" t="str">
        <f>IF(Mayo!D33&gt;0,Mayo!D33,"")</f>
        <v/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>
        <f>IF(Mayo!K33&gt;0,Mayo!K33,"")</f>
        <v>18082.010000000002</v>
      </c>
      <c r="L14" s="1" t="str">
        <f>IF(Mayo!L33&gt;0,Mayo!L33,"")</f>
        <v/>
      </c>
      <c r="M14" s="1">
        <f>IF(Mayo!M33&gt;0,Mayo!M33,"")</f>
        <v>810</v>
      </c>
      <c r="N14" s="1" t="str">
        <f>IF(Mayo!N33&gt;0,Mayo!N33,"")</f>
        <v/>
      </c>
      <c r="O14" s="1" t="str">
        <f>IF(Mayo!O33&gt;0,Mayo!O33,"")</f>
        <v/>
      </c>
      <c r="P14" s="1" t="str">
        <f>IF(Mayo!P33&gt;0,Mayo!P33,"")</f>
        <v/>
      </c>
      <c r="Q14" s="1">
        <f>IF(Mayo!Q33&gt;0,Mayo!Q33,"")</f>
        <v>4256.21</v>
      </c>
      <c r="R14" s="1" t="str">
        <f>IF(Mayo!R33&gt;0,Mayo!R33,"")</f>
        <v/>
      </c>
      <c r="S14" s="1" t="str">
        <f>IF(Mayo!S33&gt;0,Mayo!S33,"")</f>
        <v/>
      </c>
      <c r="T14" s="1" t="str">
        <f>IF(Mayo!T33&gt;0,Mayo!T33,"")</f>
        <v/>
      </c>
      <c r="U14" s="1" t="str">
        <f>IF(Mayo!U33&gt;0,Mayo!U33,"")</f>
        <v/>
      </c>
      <c r="V14" s="1" t="str">
        <f>IF(Mayo!V33&gt;0,Mayo!V33,"")</f>
        <v/>
      </c>
      <c r="W14" s="1">
        <f>IF(Mayo!W33&gt;0,Mayo!W33,"")</f>
        <v>494.09</v>
      </c>
      <c r="X14" s="1" t="str">
        <f>IF(Mayo!X33&gt;0,Mayo!X33,"")</f>
        <v/>
      </c>
      <c r="Y14" s="1" t="str">
        <f>IF(Mayo!Y33&gt;0,Mayo!Y33,"")</f>
        <v/>
      </c>
      <c r="Z14" s="1">
        <f>IF(Mayo!Z33&gt;0,Mayo!Z33,"")</f>
        <v>2258.36</v>
      </c>
      <c r="AA14" s="1">
        <f>IF(Mayo!AA33&gt;0,Mayo!AA33,"")</f>
        <v>69640.490000000005</v>
      </c>
    </row>
    <row r="15" spans="1:34" ht="15" customHeight="1" x14ac:dyDescent="0.25">
      <c r="A15" s="1" t="s">
        <v>36</v>
      </c>
      <c r="B15" s="1" t="str">
        <f>IF(Junio!B32&gt;0,Junio!B32,"")</f>
        <v/>
      </c>
      <c r="C15" s="1" t="str">
        <f>IF(Junio!C32&gt;0,Junio!C32,"")</f>
        <v/>
      </c>
      <c r="D15" s="1" t="str">
        <f>IF(Junio!D32&gt;0,Junio!D32,"")</f>
        <v/>
      </c>
      <c r="E15" s="1" t="str">
        <f>IF(Junio!E32&gt;0,Junio!E32,"")</f>
        <v/>
      </c>
      <c r="F15" s="1" t="str">
        <f>IF(Junio!F32&gt;0,Junio!F32,"")</f>
        <v/>
      </c>
      <c r="G15" s="1" t="str">
        <f>IF(Junio!G32&gt;0,Junio!G32,"")</f>
        <v/>
      </c>
      <c r="H15" s="1" t="str">
        <f>IF(Junio!H32&gt;0,Junio!H32,"")</f>
        <v/>
      </c>
      <c r="I15" s="1" t="str">
        <f>IF(Junio!I32&gt;0,Junio!I32,"")</f>
        <v/>
      </c>
      <c r="J15" s="1" t="str">
        <f>IF(Junio!J32&gt;0,Junio!J32,"")</f>
        <v/>
      </c>
      <c r="K15" s="1" t="str">
        <f>IF(Junio!K32&gt;0,Junio!K32,"")</f>
        <v/>
      </c>
      <c r="L15" s="1" t="str">
        <f>IF(Junio!L32&gt;0,Junio!L32,"")</f>
        <v/>
      </c>
      <c r="M15" s="1" t="str">
        <f>IF(Junio!M32&gt;0,Junio!M32,"")</f>
        <v/>
      </c>
      <c r="N15" s="1" t="str">
        <f>IF(Junio!N32&gt;0,Junio!N32,"")</f>
        <v/>
      </c>
      <c r="O15" s="1" t="str">
        <f>IF(Junio!O32&gt;0,Junio!O32,"")</f>
        <v/>
      </c>
      <c r="P15" s="1" t="str">
        <f>IF(Junio!P32&gt;0,Junio!P32,"")</f>
        <v/>
      </c>
      <c r="Q15" s="1" t="str">
        <f>IF(Junio!Q32&gt;0,Junio!Q32,"")</f>
        <v/>
      </c>
      <c r="R15" s="1" t="str">
        <f>IF(Junio!R32&gt;0,Junio!R32,"")</f>
        <v/>
      </c>
      <c r="S15" s="1" t="str">
        <f>IF(Junio!S32&gt;0,Junio!S32,"")</f>
        <v/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 t="str">
        <f>IF(Junio!X32&gt;0,Junio!X32,"")</f>
        <v/>
      </c>
      <c r="Y15" s="1" t="str">
        <f>IF(Junio!Y32&gt;0,Junio!Y32,"")</f>
        <v/>
      </c>
      <c r="Z15" s="1" t="str">
        <f>IF(Junio!Z32&gt;0,Junio!Z32,"")</f>
        <v/>
      </c>
      <c r="AA15" s="1" t="str">
        <f>IF(Junio!AA32&gt;0,Junio!AA32,"")</f>
        <v/>
      </c>
    </row>
    <row r="16" spans="1:34" ht="15" customHeight="1" x14ac:dyDescent="0.25">
      <c r="A16" s="1" t="s">
        <v>37</v>
      </c>
      <c r="B16" s="1" t="str">
        <f>IF(Julio!B33&gt;0,Julio!B33,"")</f>
        <v/>
      </c>
      <c r="C16" s="1" t="str">
        <f>IF(Julio!C33&gt;0,Julio!C33,"")</f>
        <v/>
      </c>
      <c r="D16" s="1" t="str">
        <f>IF(Julio!D33&gt;0,Julio!D33,"")</f>
        <v/>
      </c>
      <c r="E16" s="1" t="str">
        <f>IF(Julio!E33&gt;0,Julio!E33,"")</f>
        <v/>
      </c>
      <c r="F16" s="1" t="str">
        <f>IF(Julio!F33&gt;0,Julio!F33,"")</f>
        <v/>
      </c>
      <c r="G16" s="1" t="str">
        <f>IF(Julio!G33&gt;0,Julio!G33,"")</f>
        <v/>
      </c>
      <c r="H16" s="1" t="str">
        <f>IF(Julio!H33&gt;0,Julio!H33,"")</f>
        <v/>
      </c>
      <c r="I16" s="1" t="str">
        <f>IF(Julio!I33&gt;0,Julio!I33,"")</f>
        <v/>
      </c>
      <c r="J16" s="1" t="str">
        <f>IF(Julio!J33&gt;0,Julio!J33,"")</f>
        <v/>
      </c>
      <c r="K16" s="1" t="str">
        <f>IF(Julio!K33&gt;0,Julio!K33,"")</f>
        <v/>
      </c>
      <c r="L16" s="1" t="str">
        <f>IF(Julio!L33&gt;0,Julio!L33,"")</f>
        <v/>
      </c>
      <c r="M16" s="1" t="str">
        <f>IF(Julio!M33&gt;0,Julio!M33,"")</f>
        <v/>
      </c>
      <c r="N16" s="1" t="str">
        <f>IF(Julio!N33&gt;0,Julio!N33,"")</f>
        <v/>
      </c>
      <c r="O16" s="1" t="str">
        <f>IF(Julio!O33&gt;0,Julio!O33,"")</f>
        <v/>
      </c>
      <c r="P16" s="1" t="str">
        <f>IF(Julio!P33&gt;0,Julio!P33,"")</f>
        <v/>
      </c>
      <c r="Q16" s="1" t="str">
        <f>IF(Julio!Q33&gt;0,Julio!Q33,"")</f>
        <v/>
      </c>
      <c r="R16" s="1" t="str">
        <f>IF(Julio!R33&gt;0,Julio!R33,"")</f>
        <v/>
      </c>
      <c r="S16" s="1" t="str">
        <f>IF(Julio!S33&gt;0,Julio!S33,"")</f>
        <v/>
      </c>
      <c r="T16" s="1" t="str">
        <f>IF(Julio!T33&gt;0,Julio!T33,"")</f>
        <v/>
      </c>
      <c r="U16" s="1" t="str">
        <f>IF(Julio!U33&gt;0,Julio!U33,"")</f>
        <v/>
      </c>
      <c r="V16" s="1" t="str">
        <f>IF(Julio!V33&gt;0,Julio!V33,"")</f>
        <v/>
      </c>
      <c r="W16" s="1" t="str">
        <f>IF(Julio!W33&gt;0,Julio!W33,"")</f>
        <v/>
      </c>
      <c r="X16" s="1" t="str">
        <f>IF(Julio!X33&gt;0,Julio!X33,"")</f>
        <v/>
      </c>
      <c r="Y16" s="1" t="str">
        <f>IF(Julio!Y33&gt;0,Julio!Y33,"")</f>
        <v/>
      </c>
      <c r="Z16" s="1" t="str">
        <f>IF(Julio!Z33&gt;0,Julio!Z33,"")</f>
        <v/>
      </c>
      <c r="AA16" s="1" t="str">
        <f>IF(Julio!AA33&gt;0,Julio!AA33,"")</f>
        <v/>
      </c>
    </row>
    <row r="17" spans="1:27" ht="15" customHeight="1" x14ac:dyDescent="0.25">
      <c r="A17" s="1" t="s">
        <v>38</v>
      </c>
      <c r="B17" s="1" t="str">
        <f>IF(Agosto!B33&gt;0,Agosto!B33,"")</f>
        <v/>
      </c>
      <c r="C17" s="1" t="str">
        <f>IF(Agosto!C33&gt;0,Agosto!C33,"")</f>
        <v/>
      </c>
      <c r="D17" s="1" t="str">
        <f>IF(Agosto!D33&gt;0,Agosto!D33,"")</f>
        <v/>
      </c>
      <c r="E17" s="1" t="str">
        <f>IF(Agosto!E33&gt;0,Agosto!E33,"")</f>
        <v/>
      </c>
      <c r="F17" s="1" t="str">
        <f>IF(Agosto!F33&gt;0,Agosto!F33,"")</f>
        <v/>
      </c>
      <c r="G17" s="1" t="str">
        <f>IF(Agosto!G33&gt;0,Agosto!G33,"")</f>
        <v/>
      </c>
      <c r="H17" s="1" t="str">
        <f>IF(Agosto!H33&gt;0,Agosto!H33,"")</f>
        <v/>
      </c>
      <c r="I17" s="1" t="str">
        <f>IF(Agosto!I33&gt;0,Agosto!I33,"")</f>
        <v/>
      </c>
      <c r="J17" s="1" t="str">
        <f>IF(Agosto!J33&gt;0,Agosto!J33,"")</f>
        <v/>
      </c>
      <c r="K17" s="1" t="str">
        <f>IF(Agosto!K33&gt;0,Agosto!K33,"")</f>
        <v/>
      </c>
      <c r="L17" s="1" t="str">
        <f>IF(Agosto!L33&gt;0,Agosto!L33,"")</f>
        <v/>
      </c>
      <c r="M17" s="1" t="str">
        <f>IF(Agosto!M33&gt;0,Agosto!M33,"")</f>
        <v/>
      </c>
      <c r="N17" s="1" t="str">
        <f>IF(Agosto!N33&gt;0,Agosto!N33,"")</f>
        <v/>
      </c>
      <c r="O17" s="1" t="str">
        <f>IF(Agosto!O33&gt;0,Agosto!O33,"")</f>
        <v/>
      </c>
      <c r="P17" s="1" t="str">
        <f>IF(Agosto!P33&gt;0,Agosto!P33,"")</f>
        <v/>
      </c>
      <c r="Q17" s="1" t="str">
        <f>IF(Agosto!Q33&gt;0,Agosto!Q33,"")</f>
        <v/>
      </c>
      <c r="R17" s="1" t="str">
        <f>IF(Agosto!R33&gt;0,Agosto!R33,"")</f>
        <v/>
      </c>
      <c r="S17" s="1" t="str">
        <f>IF(Agosto!S33&gt;0,Agosto!S33,"")</f>
        <v/>
      </c>
      <c r="T17" s="1" t="str">
        <f>IF(Agosto!T33&gt;0,Agosto!T33,"")</f>
        <v/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 t="str">
        <f>IF(Agosto!X33&gt;0,Agosto!X33,"")</f>
        <v/>
      </c>
      <c r="Y17" s="1" t="str">
        <f>IF(Agosto!Y33&gt;0,Agosto!Y33,"")</f>
        <v/>
      </c>
      <c r="Z17" s="1" t="str">
        <f>IF(Agosto!Z33&gt;0,Agosto!Z33,"")</f>
        <v/>
      </c>
      <c r="AA17" s="1" t="str">
        <f>IF(Agosto!AA33&gt;0,Agosto!AA33,"")</f>
        <v/>
      </c>
    </row>
    <row r="18" spans="1:27" ht="15" customHeight="1" x14ac:dyDescent="0.25">
      <c r="A18" s="1" t="s">
        <v>39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 t="str">
        <f>IF(Setiembre!E32&gt;0,Setiembre!E32,"")</f>
        <v/>
      </c>
      <c r="F18" s="1" t="str">
        <f>IF(Setiembre!F32&gt;0,Setiembre!F32,"")</f>
        <v/>
      </c>
      <c r="G18" s="1" t="str">
        <f>IF(Setiembre!G32&gt;0,Setiembre!G32,"")</f>
        <v/>
      </c>
      <c r="H18" s="1" t="str">
        <f>IF(Setiembre!H32&gt;0,Setiembre!H32,"")</f>
        <v/>
      </c>
      <c r="I18" s="1" t="str">
        <f>IF(Setiembre!I32&gt;0,Setiembre!I32,"")</f>
        <v/>
      </c>
      <c r="J18" s="1" t="str">
        <f>IF(Setiembre!J32&gt;0,Setiembre!J32,"")</f>
        <v/>
      </c>
      <c r="K18" s="1" t="str">
        <f>IF(Setiembre!K32&gt;0,Setiembre!K32,"")</f>
        <v/>
      </c>
      <c r="L18" s="1" t="str">
        <f>IF(Setiembre!L32&gt;0,Setiembre!L32,"")</f>
        <v/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 t="str">
        <f>IF(Setiembre!P32&gt;0,Setiembre!P32,"")</f>
        <v/>
      </c>
      <c r="Q18" s="1" t="str">
        <f>IF(Setiembre!Q32&gt;0,Setiembre!Q32,"")</f>
        <v/>
      </c>
      <c r="R18" s="1" t="str">
        <f>IF(Setiembre!R32&gt;0,Setiembre!R32,"")</f>
        <v/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 t="str">
        <f>IF(Setiembre!W32&gt;0,Setiembre!W32,"")</f>
        <v/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 t="str">
        <f>IF(Setiembre!AA32&gt;0,Setiembre!AA32,"")</f>
        <v/>
      </c>
    </row>
    <row r="19" spans="1:27" ht="15" customHeight="1" x14ac:dyDescent="0.25">
      <c r="A19" s="1" t="s">
        <v>40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</row>
    <row r="20" spans="1:27" ht="15" customHeight="1" x14ac:dyDescent="0.25">
      <c r="A20" s="1" t="s">
        <v>41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</row>
    <row r="21" spans="1:27" ht="15" customHeight="1" x14ac:dyDescent="0.25">
      <c r="A21" s="1" t="s">
        <v>42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</row>
    <row r="23" spans="1:27" ht="15" customHeight="1" x14ac:dyDescent="0.25">
      <c r="A23" s="37" t="s">
        <v>46</v>
      </c>
      <c r="B23" s="37"/>
      <c r="C23" s="37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</row>
    <row r="24" spans="1:27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44</v>
      </c>
      <c r="U24" s="1" t="s">
        <v>21</v>
      </c>
      <c r="V24" s="1" t="s">
        <v>22</v>
      </c>
      <c r="W24" s="1" t="s">
        <v>45</v>
      </c>
      <c r="X24" s="1" t="s">
        <v>24</v>
      </c>
      <c r="Y24" s="1" t="s">
        <v>25</v>
      </c>
      <c r="Z24" s="1" t="s">
        <v>26</v>
      </c>
      <c r="AA24" s="9" t="s">
        <v>47</v>
      </c>
    </row>
    <row r="25" spans="1:27" ht="15" customHeight="1" x14ac:dyDescent="0.25">
      <c r="A25" s="1" t="s">
        <v>35</v>
      </c>
      <c r="B25" s="1" t="str">
        <f>IF(ISNUMBER(Mayo!B33),B3-Mayo!B33,"")</f>
        <v/>
      </c>
      <c r="C25" s="1" t="str">
        <f>IF(ISNUMBER(Mayo!C33),C3-Mayo!C33,"")</f>
        <v/>
      </c>
      <c r="D25" s="1" t="str">
        <f>IF(ISNUMBER(Mayo!D33),D3-Mayo!D33,"")</f>
        <v/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17.989999999997963</v>
      </c>
      <c r="L25" s="1" t="str">
        <f>IF(ISNUMBER(Mayo!L33),L3-Mayo!L33,"")</f>
        <v/>
      </c>
      <c r="M25" s="1">
        <f>IF(ISNUMBER(Mayo!M33),M3-Mayo!M33,"")</f>
        <v>40</v>
      </c>
      <c r="N25" s="1" t="str">
        <f>IF(ISNUMBER(Mayo!N33),N3-Mayo!N33,"")</f>
        <v/>
      </c>
      <c r="O25" s="1" t="str">
        <f>IF(ISNUMBER(Mayo!O33),O3-Mayo!O33,"")</f>
        <v/>
      </c>
      <c r="P25" s="1" t="str">
        <f>IF(ISNUMBER(Mayo!P33),P3-Mayo!P33,"")</f>
        <v/>
      </c>
      <c r="Q25" s="1">
        <f>IF(ISNUMBER(Mayo!Q33),Q3-Mayo!Q33,"")</f>
        <v>15743.79</v>
      </c>
      <c r="R25" s="1" t="str">
        <f>IF(ISNUMBER(Mayo!R33),R3-Mayo!R33,"")</f>
        <v/>
      </c>
      <c r="S25" s="1" t="str">
        <f>IF(ISNUMBER(Mayo!S33),S3-Mayo!S33,"")</f>
        <v/>
      </c>
      <c r="T25" s="1" t="str">
        <f>IF(ISNUMBER(Mayo!T33),T3-Mayo!T33,"")</f>
        <v/>
      </c>
      <c r="U25" s="1" t="str">
        <f>IF(ISNUMBER(Mayo!U33),U3-Mayo!U33,"")</f>
        <v/>
      </c>
      <c r="V25" s="1" t="str">
        <f>IF(ISNUMBER(Mayo!V33),V3-Mayo!V33,"")</f>
        <v/>
      </c>
      <c r="W25" s="1">
        <f>IF(ISNUMBER(Mayo!W33),W3-Mayo!W33,"")</f>
        <v>1005.9100000000001</v>
      </c>
      <c r="X25" s="1" t="str">
        <f>IF(ISNUMBER(Mayo!X33),X3-Mayo!X33,"")</f>
        <v/>
      </c>
      <c r="Y25" s="1" t="str">
        <f>IF(ISNUMBER(Mayo!Y33),Y3-Mayo!Y33,"")</f>
        <v/>
      </c>
      <c r="Z25" s="1">
        <f>IF(ISNUMBER(Mayo!Z33),Z3-Mayo!Z33,"")</f>
        <v>1741.6399999999999</v>
      </c>
      <c r="AA25" s="10">
        <f t="shared" ref="AA25:AA33" si="6">SUMIF(B25:Z25,"&lt;&gt;"&amp;"")</f>
        <v>20009.509999999998</v>
      </c>
    </row>
    <row r="26" spans="1:27" ht="15" customHeight="1" x14ac:dyDescent="0.25">
      <c r="A26" s="1" t="s">
        <v>36</v>
      </c>
      <c r="B26" s="1" t="str">
        <f>IF(ISNUMBER(Junio!B32),B4-Junio!B32,"")</f>
        <v/>
      </c>
      <c r="C26" s="1" t="str">
        <f>IF(ISNUMBER(Junio!C32),C4-Junio!C32,"")</f>
        <v/>
      </c>
      <c r="D26" s="1" t="str">
        <f>IF(ISNUMBER(Junio!D32),D4-Junio!D32,"")</f>
        <v/>
      </c>
      <c r="E26" s="1" t="str">
        <f>IF(ISNUMBER(Junio!E32),E4-Junio!E32,"")</f>
        <v/>
      </c>
      <c r="F26" s="1" t="str">
        <f>IF(ISNUMBER(Junio!F32),F4-Junio!F32,"")</f>
        <v/>
      </c>
      <c r="G26" s="1" t="str">
        <f>IF(ISNUMBER(Junio!G32),G4-Junio!G32,"")</f>
        <v/>
      </c>
      <c r="H26" s="1" t="str">
        <f>IF(ISNUMBER(Junio!H32),H4-Junio!H32,"")</f>
        <v/>
      </c>
      <c r="I26" s="1" t="str">
        <f>IF(ISNUMBER(Junio!I32),I4-Junio!I32,"")</f>
        <v/>
      </c>
      <c r="J26" s="1" t="str">
        <f>IF(ISNUMBER(Junio!J32),J4-Junio!J32,"")</f>
        <v/>
      </c>
      <c r="K26" s="1" t="str">
        <f>IF(ISNUMBER(Junio!K32),K4-Junio!K32,"")</f>
        <v/>
      </c>
      <c r="L26" s="1" t="str">
        <f>IF(ISNUMBER(Junio!L32),L4-Junio!L32,"")</f>
        <v/>
      </c>
      <c r="M26" s="1" t="str">
        <f>IF(ISNUMBER(Junio!M32),M4-Junio!M32,"")</f>
        <v/>
      </c>
      <c r="N26" s="1" t="str">
        <f>IF(ISNUMBER(Junio!N32),N4-Junio!N32,"")</f>
        <v/>
      </c>
      <c r="O26" s="1" t="str">
        <f>IF(ISNUMBER(Junio!O32),O4-Junio!O32,"")</f>
        <v/>
      </c>
      <c r="P26" s="1" t="str">
        <f>IF(ISNUMBER(Junio!P32),P4-Junio!P32,"")</f>
        <v/>
      </c>
      <c r="Q26" s="1" t="str">
        <f>IF(ISNUMBER(Junio!Q32),Q4-Junio!Q32,"")</f>
        <v/>
      </c>
      <c r="R26" s="1" t="str">
        <f>IF(ISNUMBER(Junio!R32),R4-Junio!R32,"")</f>
        <v/>
      </c>
      <c r="S26" s="1" t="str">
        <f>IF(ISNUMBER(Junio!S32),S4-Junio!S32,"")</f>
        <v/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 t="str">
        <f>IF(ISNUMBER(Junio!X32),X4-Junio!X32,"")</f>
        <v/>
      </c>
      <c r="Y26" s="1" t="str">
        <f>IF(ISNUMBER(Junio!Y32),Y4-Junio!Y32,"")</f>
        <v/>
      </c>
      <c r="Z26" s="1" t="str">
        <f>IF(ISNUMBER(Junio!Z32),Z4-Junio!Z32,"")</f>
        <v/>
      </c>
      <c r="AA26" s="10">
        <f t="shared" si="6"/>
        <v>0</v>
      </c>
    </row>
    <row r="27" spans="1:27" ht="15" customHeight="1" x14ac:dyDescent="0.25">
      <c r="A27" s="1" t="s">
        <v>37</v>
      </c>
      <c r="B27" s="1" t="str">
        <f>IF(ISNUMBER(Julio!B33),B5-Julio!B33,"")</f>
        <v/>
      </c>
      <c r="C27" s="1" t="str">
        <f>IF(ISNUMBER(Julio!C33),C5-Julio!C33,"")</f>
        <v/>
      </c>
      <c r="D27" s="1" t="str">
        <f>IF(ISNUMBER(Julio!D33),D5-Julio!D33,"")</f>
        <v/>
      </c>
      <c r="E27" s="1" t="str">
        <f>IF(ISNUMBER(Julio!E33),E5-Julio!E33,"")</f>
        <v/>
      </c>
      <c r="F27" s="1" t="str">
        <f>IF(ISNUMBER(Julio!F33),F5-Julio!F33,"")</f>
        <v/>
      </c>
      <c r="G27" s="1" t="str">
        <f>IF(ISNUMBER(Julio!G33),G5-Julio!G33,"")</f>
        <v/>
      </c>
      <c r="H27" s="1" t="str">
        <f>IF(ISNUMBER(Julio!H33),H5-Julio!H33,"")</f>
        <v/>
      </c>
      <c r="I27" s="1" t="str">
        <f>IF(ISNUMBER(Julio!I33),I5-Julio!I33,"")</f>
        <v/>
      </c>
      <c r="J27" s="1" t="str">
        <f>IF(ISNUMBER(Julio!J33),J5-Julio!J33,"")</f>
        <v/>
      </c>
      <c r="K27" s="1" t="str">
        <f>IF(ISNUMBER(Julio!K33),K5-Julio!K33,"")</f>
        <v/>
      </c>
      <c r="L27" s="1" t="str">
        <f>IF(ISNUMBER(Julio!L33),L5-Julio!L33,"")</f>
        <v/>
      </c>
      <c r="M27" s="1" t="str">
        <f>IF(ISNUMBER(Julio!M33),M5-Julio!M33,"")</f>
        <v/>
      </c>
      <c r="N27" s="1" t="str">
        <f>IF(ISNUMBER(Julio!N33),N5-Julio!N33,"")</f>
        <v/>
      </c>
      <c r="O27" s="1" t="str">
        <f>IF(ISNUMBER(Julio!O33),O5-Julio!O33,"")</f>
        <v/>
      </c>
      <c r="P27" s="1" t="str">
        <f>IF(ISNUMBER(Julio!P33),P5-Julio!P33,"")</f>
        <v/>
      </c>
      <c r="Q27" s="1" t="str">
        <f>IF(ISNUMBER(Julio!Q33),Q5-Julio!Q33,"")</f>
        <v/>
      </c>
      <c r="R27" s="1" t="str">
        <f>IF(ISNUMBER(Julio!R33),R5-Julio!R33,"")</f>
        <v/>
      </c>
      <c r="S27" s="1" t="str">
        <f>IF(ISNUMBER(Julio!S33),S5-Julio!S33,"")</f>
        <v/>
      </c>
      <c r="T27" s="1" t="str">
        <f>IF(ISNUMBER(Julio!T33),T5-Julio!T33,"")</f>
        <v/>
      </c>
      <c r="U27" s="1" t="str">
        <f>IF(ISNUMBER(Julio!U33),U5-Julio!U33,"")</f>
        <v/>
      </c>
      <c r="V27" s="1" t="str">
        <f>IF(ISNUMBER(Julio!V33),V5-Julio!V33,"")</f>
        <v/>
      </c>
      <c r="W27" s="1" t="str">
        <f>IF(ISNUMBER(Julio!W33),W5-Julio!W33,"")</f>
        <v/>
      </c>
      <c r="X27" s="1" t="str">
        <f>IF(ISNUMBER(Julio!X33),X5-Julio!X33,"")</f>
        <v/>
      </c>
      <c r="Y27" s="1" t="str">
        <f>IF(ISNUMBER(Julio!Y33),Y5-Julio!Y33,"")</f>
        <v/>
      </c>
      <c r="Z27" s="1" t="str">
        <f>IF(ISNUMBER(Julio!Z33),Z5-Julio!Z33,"")</f>
        <v/>
      </c>
      <c r="AA27" s="10">
        <f t="shared" si="6"/>
        <v>0</v>
      </c>
    </row>
    <row r="28" spans="1:27" ht="15" customHeight="1" x14ac:dyDescent="0.25">
      <c r="A28" s="1" t="s">
        <v>38</v>
      </c>
      <c r="B28" s="1" t="str">
        <f>IF(ISNUMBER(Agosto!B33),B6-Agosto!B33,"")</f>
        <v/>
      </c>
      <c r="C28" s="1" t="str">
        <f>IF(ISNUMBER(Agosto!C33),C6-Agosto!C33,"")</f>
        <v/>
      </c>
      <c r="D28" s="1" t="str">
        <f>IF(ISNUMBER(Agosto!D33),D6-Agosto!D33,"")</f>
        <v/>
      </c>
      <c r="E28" s="1" t="str">
        <f>IF(ISNUMBER(Agosto!E33),E6-Agosto!E33,"")</f>
        <v/>
      </c>
      <c r="F28" s="1" t="str">
        <f>IF(ISNUMBER(Agosto!F33),F6-Agosto!F33,"")</f>
        <v/>
      </c>
      <c r="G28" s="1" t="str">
        <f>IF(ISNUMBER(Agosto!G33),G6-Agosto!G33,"")</f>
        <v/>
      </c>
      <c r="H28" s="1" t="str">
        <f>IF(ISNUMBER(Agosto!H33),H6-Agosto!H33,"")</f>
        <v/>
      </c>
      <c r="I28" s="1" t="str">
        <f>IF(ISNUMBER(Agosto!I33),I6-Agosto!I33,"")</f>
        <v/>
      </c>
      <c r="J28" s="1" t="str">
        <f>IF(ISNUMBER(Agosto!J33),J6-Agosto!J33,"")</f>
        <v/>
      </c>
      <c r="K28" s="1" t="str">
        <f>IF(ISNUMBER(Agosto!K33),K6-Agosto!K33,"")</f>
        <v/>
      </c>
      <c r="L28" s="1" t="str">
        <f>IF(ISNUMBER(Agosto!L33),L6-Agosto!L33,"")</f>
        <v/>
      </c>
      <c r="M28" s="1" t="str">
        <f>IF(ISNUMBER(Agosto!M33),M6-Agosto!M33,"")</f>
        <v/>
      </c>
      <c r="N28" s="1" t="str">
        <f>IF(ISNUMBER(Agosto!N33),N6-Agosto!N33,"")</f>
        <v/>
      </c>
      <c r="O28" s="1" t="str">
        <f>IF(ISNUMBER(Agosto!O33),O6-Agosto!O33,"")</f>
        <v/>
      </c>
      <c r="P28" s="1" t="str">
        <f>IF(ISNUMBER(Agosto!P33),P6-Agosto!P33,"")</f>
        <v/>
      </c>
      <c r="Q28" s="1" t="str">
        <f>IF(ISNUMBER(Agosto!Q33),Q6-Agosto!Q33,"")</f>
        <v/>
      </c>
      <c r="R28" s="1" t="str">
        <f>IF(ISNUMBER(Agosto!R33),R6-Agosto!R33,"")</f>
        <v/>
      </c>
      <c r="S28" s="1" t="str">
        <f>IF(ISNUMBER(Agosto!S33),S6-Agosto!S33,"")</f>
        <v/>
      </c>
      <c r="T28" s="1" t="str">
        <f>IF(ISNUMBER(Agosto!T33),T6-Agosto!T33,"")</f>
        <v/>
      </c>
      <c r="U28" s="1" t="str">
        <f>IF(ISNUMBER(Agosto!U33),U6-Agosto!U33,"")</f>
        <v/>
      </c>
      <c r="V28" s="1" t="str">
        <f>IF(ISNUMBER(Agosto!V33),V6-Agosto!V33,"")</f>
        <v/>
      </c>
      <c r="W28" s="1" t="str">
        <f>IF(ISNUMBER(Agosto!W33),W6-Agosto!W33,"")</f>
        <v/>
      </c>
      <c r="X28" s="1" t="str">
        <f>IF(ISNUMBER(Agosto!X33),X6-Agosto!X33,"")</f>
        <v/>
      </c>
      <c r="Y28" s="1" t="str">
        <f>IF(ISNUMBER(Agosto!Y33),Y6-Agosto!Y33,"")</f>
        <v/>
      </c>
      <c r="Z28" s="1" t="str">
        <f>IF(ISNUMBER(Agosto!Z33),Z6-Agosto!Z33,"")</f>
        <v/>
      </c>
      <c r="AA28" s="10">
        <f t="shared" si="6"/>
        <v>0</v>
      </c>
    </row>
    <row r="29" spans="1:27" ht="15" customHeight="1" x14ac:dyDescent="0.25">
      <c r="A29" s="1" t="s">
        <v>39</v>
      </c>
      <c r="B29" s="1" t="str">
        <f>IF(ISNUMBER(Setiembre!B32),B7-Setiembre!B32,"")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 t="str">
        <f>IF(ISNUMBER(Setiembre!E32),E7-Setiembre!E32,"")</f>
        <v/>
      </c>
      <c r="F29" s="1" t="str">
        <f>IF(ISNUMBER(Setiembre!F32),F7-Setiembre!F32,"")</f>
        <v/>
      </c>
      <c r="G29" s="1" t="str">
        <f>IF(ISNUMBER(Setiembre!G32),G7-Setiembre!G32,"")</f>
        <v/>
      </c>
      <c r="H29" s="1" t="str">
        <f>IF(ISNUMBER(Setiembre!H32),H7-Setiembre!H32,"")</f>
        <v/>
      </c>
      <c r="I29" s="1" t="str">
        <f>IF(ISNUMBER(Setiembre!I32),I7-Setiembre!I32,"")</f>
        <v/>
      </c>
      <c r="J29" s="1" t="str">
        <f>IF(ISNUMBER(Setiembre!J32),J7-Setiembre!J32,"")</f>
        <v/>
      </c>
      <c r="K29" s="1" t="str">
        <f>IF(ISNUMBER(Setiembre!K32),K7-Setiembre!K32,"")</f>
        <v/>
      </c>
      <c r="L29" s="1" t="str">
        <f>IF(ISNUMBER(Setiembre!L32),L7-Setiembre!L32,"")</f>
        <v/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 t="str">
        <f>IF(ISNUMBER(Setiembre!P32),P7-Setiembre!P32,"")</f>
        <v/>
      </c>
      <c r="Q29" s="1" t="str">
        <f>IF(ISNUMBER(Setiembre!Q32),Q7-Setiembre!Q32,"")</f>
        <v/>
      </c>
      <c r="R29" s="1" t="str">
        <f>IF(ISNUMBER(Setiembre!R32),R7-Setiembre!R32,"")</f>
        <v/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 t="str">
        <f>IF(ISNUMBER(Setiembre!W32),W7-Setiembre!W32,"")</f>
        <v/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0">
        <f t="shared" si="6"/>
        <v>0</v>
      </c>
    </row>
    <row r="30" spans="1:27" ht="15" customHeight="1" x14ac:dyDescent="0.25">
      <c r="A30" s="1" t="s">
        <v>40</v>
      </c>
      <c r="B30" s="1" t="str">
        <f>IF(ISNUMBER(Octubre!B33),B8-Octubre!B33,"")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0">
        <f t="shared" si="6"/>
        <v>0</v>
      </c>
    </row>
    <row r="31" spans="1:27" ht="15" customHeight="1" x14ac:dyDescent="0.25">
      <c r="A31" s="1" t="s">
        <v>41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0">
        <f t="shared" si="6"/>
        <v>0</v>
      </c>
    </row>
    <row r="32" spans="1:27" ht="15" customHeight="1" x14ac:dyDescent="0.25">
      <c r="A32" s="1" t="s">
        <v>42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0">
        <f t="shared" si="6"/>
        <v>0</v>
      </c>
    </row>
    <row r="33" spans="1:27" ht="15" customHeight="1" x14ac:dyDescent="0.25">
      <c r="A33" s="11" t="s">
        <v>48</v>
      </c>
      <c r="B33" s="10">
        <f t="shared" ref="B33:Z33" si="7">SUMIF(B25:B32,"&lt;&gt;"&amp;"")</f>
        <v>0</v>
      </c>
      <c r="C33" s="10">
        <f t="shared" si="7"/>
        <v>0</v>
      </c>
      <c r="D33" s="10">
        <f t="shared" si="7"/>
        <v>0</v>
      </c>
      <c r="E33" s="10">
        <f t="shared" si="7"/>
        <v>30</v>
      </c>
      <c r="F33" s="10">
        <f t="shared" si="7"/>
        <v>46</v>
      </c>
      <c r="G33" s="10">
        <f t="shared" si="7"/>
        <v>20</v>
      </c>
      <c r="H33" s="10">
        <f t="shared" si="7"/>
        <v>208.44000000000005</v>
      </c>
      <c r="I33" s="10">
        <f t="shared" si="7"/>
        <v>855.73999999999978</v>
      </c>
      <c r="J33" s="10">
        <f t="shared" si="7"/>
        <v>300</v>
      </c>
      <c r="K33" s="10">
        <f t="shared" si="7"/>
        <v>17.989999999997963</v>
      </c>
      <c r="L33" s="10">
        <f t="shared" si="7"/>
        <v>0</v>
      </c>
      <c r="M33" s="10">
        <f t="shared" si="7"/>
        <v>40</v>
      </c>
      <c r="N33" s="10">
        <f t="shared" si="7"/>
        <v>0</v>
      </c>
      <c r="O33" s="10">
        <f t="shared" si="7"/>
        <v>0</v>
      </c>
      <c r="P33" s="10">
        <f t="shared" si="7"/>
        <v>0</v>
      </c>
      <c r="Q33" s="10">
        <f t="shared" si="7"/>
        <v>15743.79</v>
      </c>
      <c r="R33" s="10">
        <f t="shared" si="7"/>
        <v>0</v>
      </c>
      <c r="S33" s="10">
        <f t="shared" si="7"/>
        <v>0</v>
      </c>
      <c r="T33" s="10">
        <f t="shared" si="7"/>
        <v>0</v>
      </c>
      <c r="U33" s="10">
        <f t="shared" si="7"/>
        <v>0</v>
      </c>
      <c r="V33" s="10">
        <f t="shared" si="7"/>
        <v>0</v>
      </c>
      <c r="W33" s="10">
        <f t="shared" si="7"/>
        <v>1005.9100000000001</v>
      </c>
      <c r="X33" s="10">
        <f t="shared" si="7"/>
        <v>0</v>
      </c>
      <c r="Y33" s="10">
        <f t="shared" si="7"/>
        <v>0</v>
      </c>
      <c r="Z33" s="10">
        <f t="shared" si="7"/>
        <v>1741.6399999999999</v>
      </c>
      <c r="AA33" s="10">
        <f t="shared" si="6"/>
        <v>20009.509999999998</v>
      </c>
    </row>
    <row r="36" spans="1:27" ht="15.75" x14ac:dyDescent="0.25">
      <c r="A36" s="16" t="s">
        <v>54</v>
      </c>
    </row>
    <row r="37" spans="1:27" x14ac:dyDescent="0.25">
      <c r="A37" s="17"/>
      <c r="B37" s="17" t="s">
        <v>51</v>
      </c>
      <c r="C37" s="17" t="s">
        <v>35</v>
      </c>
      <c r="D37" s="17" t="s">
        <v>36</v>
      </c>
      <c r="E37" s="17" t="s">
        <v>37</v>
      </c>
      <c r="F37" s="17" t="s">
        <v>38</v>
      </c>
      <c r="G37" s="17" t="s">
        <v>39</v>
      </c>
      <c r="H37" s="17" t="s">
        <v>40</v>
      </c>
      <c r="I37" s="17" t="s">
        <v>41</v>
      </c>
      <c r="J37" s="17" t="s">
        <v>42</v>
      </c>
      <c r="K37" s="17" t="s">
        <v>50</v>
      </c>
      <c r="L37" s="17" t="s">
        <v>52</v>
      </c>
      <c r="M37" s="17" t="s">
        <v>53</v>
      </c>
    </row>
    <row r="38" spans="1:27" x14ac:dyDescent="0.25">
      <c r="A38" s="18" t="s">
        <v>54</v>
      </c>
      <c r="B38" s="19">
        <v>400000</v>
      </c>
      <c r="C38" s="20"/>
      <c r="D38" s="20"/>
      <c r="E38" s="20"/>
      <c r="F38" s="20"/>
      <c r="G38" s="20"/>
      <c r="H38" s="20"/>
      <c r="I38" s="20"/>
      <c r="J38" s="20"/>
      <c r="K38" s="21">
        <f>SUM(C38:J38)</f>
        <v>0</v>
      </c>
      <c r="L38" s="22">
        <f>K38/2</f>
        <v>0</v>
      </c>
      <c r="M38" s="22">
        <f>K38/2</f>
        <v>0</v>
      </c>
    </row>
    <row r="39" spans="1:27" x14ac:dyDescent="0.25">
      <c r="A39" s="23" t="s">
        <v>55</v>
      </c>
      <c r="K39" s="24">
        <f>K38/B38</f>
        <v>0</v>
      </c>
    </row>
    <row r="41" spans="1:27" x14ac:dyDescent="0.25">
      <c r="A41" s="25" t="s">
        <v>56</v>
      </c>
    </row>
    <row r="42" spans="1:27" x14ac:dyDescent="0.25">
      <c r="A42" s="26" t="s">
        <v>57</v>
      </c>
      <c r="B42" s="26" t="s">
        <v>58</v>
      </c>
      <c r="C42" s="26" t="s">
        <v>59</v>
      </c>
    </row>
    <row r="43" spans="1:27" x14ac:dyDescent="0.25">
      <c r="A43" s="27"/>
      <c r="B43" s="28"/>
      <c r="C43" s="29"/>
    </row>
    <row r="44" spans="1:27" x14ac:dyDescent="0.25">
      <c r="A44" s="27"/>
      <c r="B44" s="28"/>
      <c r="C44" s="29"/>
    </row>
    <row r="45" spans="1:27" x14ac:dyDescent="0.25">
      <c r="A45" s="27"/>
      <c r="B45" s="28"/>
      <c r="C45" s="29"/>
    </row>
    <row r="46" spans="1:27" x14ac:dyDescent="0.25">
      <c r="A46" s="27"/>
      <c r="B46" s="28"/>
      <c r="C46" s="29"/>
    </row>
    <row r="47" spans="1:27" x14ac:dyDescent="0.25">
      <c r="A47" s="27"/>
      <c r="B47" s="28"/>
      <c r="C47" s="29"/>
    </row>
    <row r="48" spans="1:27" x14ac:dyDescent="0.25">
      <c r="A48" s="27"/>
      <c r="B48" s="28"/>
      <c r="C48" s="29"/>
    </row>
    <row r="49" spans="1:3" x14ac:dyDescent="0.25">
      <c r="A49" s="27"/>
      <c r="B49" s="28"/>
      <c r="C49" s="29"/>
    </row>
    <row r="50" spans="1:3" x14ac:dyDescent="0.25">
      <c r="A50" s="27"/>
      <c r="B50" s="28"/>
      <c r="C50" s="29"/>
    </row>
    <row r="51" spans="1:3" x14ac:dyDescent="0.25">
      <c r="A51" s="27"/>
      <c r="B51" s="28"/>
      <c r="C51" s="29"/>
    </row>
    <row r="52" spans="1:3" x14ac:dyDescent="0.25">
      <c r="A52" s="27"/>
      <c r="B52" s="28"/>
      <c r="C52" s="29"/>
    </row>
    <row r="53" spans="1:3" x14ac:dyDescent="0.25">
      <c r="A53" s="30" t="s">
        <v>60</v>
      </c>
      <c r="B53" s="31"/>
      <c r="C53" s="32">
        <f>SUM(C43:C52)</f>
        <v>0</v>
      </c>
    </row>
    <row r="54" spans="1:3" x14ac:dyDescent="0.25">
      <c r="A54" s="18" t="s">
        <v>61</v>
      </c>
      <c r="B54" s="33"/>
      <c r="C54" s="34">
        <f>K38-C53</f>
        <v>0</v>
      </c>
    </row>
  </sheetData>
  <mergeCells count="3">
    <mergeCell ref="A1:AA1"/>
    <mergeCell ref="A12:AA12"/>
    <mergeCell ref="A23:AA23"/>
  </mergeCells>
  <conditionalFormatting sqref="B25:AA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3"/>
  <sheetViews>
    <sheetView topLeftCell="B1" zoomScaleNormal="100" workbookViewId="0">
      <selection activeCell="M10" sqref="M10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0" width="15.85546875" bestFit="1" customWidth="1"/>
    <col min="11" max="11" width="19.42578125" customWidth="1"/>
    <col min="12" max="12" width="22.42578125" customWidth="1"/>
    <col min="13" max="13" width="13" customWidth="1"/>
    <col min="14" max="14" width="22.28515625" customWidth="1"/>
    <col min="15" max="16" width="13" customWidth="1"/>
    <col min="17" max="18" width="10.28515625" bestFit="1" customWidth="1"/>
    <col min="19" max="19" width="7.140625" bestFit="1" customWidth="1"/>
    <col min="20" max="20" width="20.140625" customWidth="1"/>
    <col min="21" max="22" width="13" customWidth="1"/>
    <col min="23" max="23" width="17.42578125" bestFit="1" customWidth="1"/>
    <col min="24" max="24" width="9.140625" bestFit="1" customWidth="1"/>
    <col min="25" max="25" width="15.140625" bestFit="1" customWidth="1"/>
    <col min="26" max="26" width="6.5703125" bestFit="1" customWidth="1"/>
    <col min="27" max="27" width="13.28515625" bestFit="1" customWidth="1"/>
    <col min="28" max="28" width="25" customWidth="1"/>
  </cols>
  <sheetData>
    <row r="1" spans="1:28" ht="28.5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>
        <v>2754.82</v>
      </c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2754.82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>
        <v>422.95</v>
      </c>
      <c r="R5" s="14"/>
      <c r="S5" s="14"/>
      <c r="T5" s="14"/>
      <c r="U5" s="14"/>
      <c r="V5" s="14"/>
      <c r="W5" s="14">
        <v>68.64</v>
      </c>
      <c r="X5" s="14"/>
      <c r="Y5" s="14"/>
      <c r="Z5" s="14"/>
      <c r="AA5" s="14">
        <f t="shared" si="0"/>
        <v>491.59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>
        <v>17944</v>
      </c>
      <c r="G6" s="14">
        <v>980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18924</v>
      </c>
      <c r="AB6" s="14"/>
    </row>
    <row r="7" spans="1:28" ht="15" customHeight="1" x14ac:dyDescent="0.25">
      <c r="A7" s="13">
        <v>6</v>
      </c>
      <c r="B7" s="14"/>
      <c r="C7" s="14"/>
      <c r="D7" s="14"/>
      <c r="E7" s="14">
        <v>10570</v>
      </c>
      <c r="F7" s="14">
        <v>8110</v>
      </c>
      <c r="G7" s="14"/>
      <c r="H7" s="14">
        <f>3327-35.44</f>
        <v>3291.56</v>
      </c>
      <c r="I7" s="14">
        <f>2180-35.74</f>
        <v>2144.2600000000002</v>
      </c>
      <c r="J7" s="14"/>
      <c r="K7" s="14">
        <f>17828.45+253.56</f>
        <v>18082.010000000002</v>
      </c>
      <c r="L7" s="14"/>
      <c r="M7" s="14"/>
      <c r="N7" s="14"/>
      <c r="O7" s="14"/>
      <c r="P7" s="14"/>
      <c r="Q7" s="14">
        <v>135</v>
      </c>
      <c r="R7" s="14"/>
      <c r="S7" s="14"/>
      <c r="T7" s="14"/>
      <c r="U7" s="14"/>
      <c r="V7" s="14"/>
      <c r="W7" s="14">
        <v>334.65</v>
      </c>
      <c r="X7" s="14"/>
      <c r="Y7" s="14"/>
      <c r="Z7" s="14">
        <v>2258.36</v>
      </c>
      <c r="AA7" s="14">
        <f t="shared" si="0"/>
        <v>44925.840000000004</v>
      </c>
      <c r="AB7" s="14" t="s">
        <v>62</v>
      </c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>
        <f>454-8.26+506-8.3</f>
        <v>943.44</v>
      </c>
      <c r="R8" s="14"/>
      <c r="S8" s="14"/>
      <c r="T8" s="14"/>
      <c r="U8" s="14"/>
      <c r="V8" s="14"/>
      <c r="W8" s="14">
        <f>2.27*40</f>
        <v>90.8</v>
      </c>
      <c r="X8" s="14"/>
      <c r="Y8" s="14"/>
      <c r="Z8" s="14"/>
      <c r="AA8" s="14">
        <f t="shared" si="0"/>
        <v>1034.24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>
        <v>700</v>
      </c>
      <c r="K9" s="14"/>
      <c r="L9" s="14"/>
      <c r="M9" s="14">
        <v>810</v>
      </c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1510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>
        <f t="shared" si="1"/>
        <v>10570</v>
      </c>
      <c r="F33" s="10">
        <f t="shared" si="1"/>
        <v>26054</v>
      </c>
      <c r="G33" s="10">
        <f t="shared" si="1"/>
        <v>980</v>
      </c>
      <c r="H33" s="10">
        <f t="shared" si="1"/>
        <v>3291.56</v>
      </c>
      <c r="I33" s="10">
        <f t="shared" si="1"/>
        <v>2144.2600000000002</v>
      </c>
      <c r="J33" s="10">
        <f t="shared" si="1"/>
        <v>700</v>
      </c>
      <c r="K33" s="10">
        <f t="shared" si="1"/>
        <v>18082.010000000002</v>
      </c>
      <c r="L33" s="10" t="str">
        <f t="shared" si="1"/>
        <v/>
      </c>
      <c r="M33" s="10">
        <f t="shared" si="1"/>
        <v>810</v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>
        <f t="shared" si="1"/>
        <v>4256.21</v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>
        <f t="shared" si="1"/>
        <v>494.09</v>
      </c>
      <c r="X33" s="10" t="str">
        <f t="shared" si="1"/>
        <v/>
      </c>
      <c r="Y33" s="10" t="str">
        <f t="shared" si="1"/>
        <v/>
      </c>
      <c r="Z33" s="10">
        <f t="shared" si="1"/>
        <v>2258.36</v>
      </c>
      <c r="AA33" s="10">
        <f t="shared" si="1"/>
        <v>69640.490000000005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33"/>
  <sheetViews>
    <sheetView zoomScaleNormal="100" workbookViewId="0">
      <selection activeCell="A15" sqref="A15"/>
    </sheetView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Nicolas Arocha</cp:lastModifiedBy>
  <cp:revision>0</cp:revision>
  <dcterms:created xsi:type="dcterms:W3CDTF">2015-06-05T18:19:34Z</dcterms:created>
  <dcterms:modified xsi:type="dcterms:W3CDTF">2026-05-08T14:05:55Z</dcterms:modified>
  <dc:language>en-US</dc:language>
</cp:coreProperties>
</file>