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C33" i="5" s="1"/>
  <c r="AB33" i="4"/>
  <c r="AA33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3" i="4" s="1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AC30" i="1" s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C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V33" i="1" s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C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AC32" i="1" l="1"/>
  <c r="AC31" i="1"/>
  <c r="AC29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AC28" i="1"/>
  <c r="F33" i="1"/>
  <c r="G33" i="1"/>
  <c r="D15" i="1"/>
  <c r="D33" i="1"/>
  <c r="J15" i="1"/>
  <c r="J33" i="1"/>
  <c r="P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O33" i="1" s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J6" i="1" l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<sst xmlns="http://schemas.openxmlformats.org/spreadsheetml/2006/main" count="404" uniqueCount="80">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</sst>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abSelected="1" topLeftCell="U1" zoomScaleNormal="100" workbookViewId="0">
      <selection activeCell="AD15" sqref="AD15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:K10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15600</v>
      </c>
      <c r="E6" s="1">
        <v>0</v>
      </c>
      <c r="F6" s="1">
        <v>26100</v>
      </c>
      <c r="G6" s="1">
        <v>1015</v>
      </c>
      <c r="H6" s="1">
        <v>3500</v>
      </c>
      <c r="I6" s="1">
        <v>3000</v>
      </c>
      <c r="J6" s="1">
        <v>1000</v>
      </c>
      <c r="K6" s="1">
        <v>18000</v>
      </c>
      <c r="L6" s="1">
        <v>12000</v>
      </c>
      <c r="M6" s="1">
        <v>17000</v>
      </c>
      <c r="N6" s="1">
        <v>810</v>
      </c>
      <c r="O6" s="1">
        <v>8000</v>
      </c>
      <c r="P6" s="1">
        <v>1800</v>
      </c>
      <c r="Q6" s="1">
        <v>2500</v>
      </c>
      <c r="R6" s="1">
        <v>20000</v>
      </c>
      <c r="S6" s="1">
        <v>2500</v>
      </c>
      <c r="T6" s="1">
        <v>5000</v>
      </c>
      <c r="W6" s="1">
        <v>3000</v>
      </c>
      <c r="X6" s="1">
        <v>1500</v>
      </c>
      <c r="Y6" s="1">
        <v>2000</v>
      </c>
      <c r="Z6" s="1">
        <v>1000</v>
      </c>
      <c r="AA6" s="1">
        <v>5000</v>
      </c>
      <c r="AB6" s="6"/>
      <c r="AC6" s="1">
        <f>SUM(B6:AB6)</f>
        <v>150325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58162.5</v>
      </c>
      <c r="AI6" s="9">
        <f t="shared" si="4"/>
        <v>59562.5</v>
      </c>
      <c r="AJ6" s="10">
        <f t="shared" si="5"/>
        <v>117725</v>
      </c>
    </row>
    <row r="7" spans="1:36" ht="15" customHeight="1" x14ac:dyDescent="0.25">
      <c r="A7" s="1" t="s">
        <v>41</v>
      </c>
      <c r="B7" s="1">
        <v>25000</v>
      </c>
      <c r="C7" s="1">
        <v>4369</v>
      </c>
      <c r="D7" s="1">
        <v>15650</v>
      </c>
      <c r="E7" s="1">
        <v>0</v>
      </c>
      <c r="F7" s="1">
        <v>26100</v>
      </c>
      <c r="G7" s="1">
        <v>1015</v>
      </c>
      <c r="H7" s="1">
        <v>3500</v>
      </c>
      <c r="I7" s="1">
        <v>3000</v>
      </c>
      <c r="J7" s="1">
        <v>1000</v>
      </c>
      <c r="K7" s="1">
        <v>18000</v>
      </c>
      <c r="L7" s="1">
        <v>10000</v>
      </c>
      <c r="M7" s="1">
        <v>7500</v>
      </c>
      <c r="N7" s="1">
        <v>810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U7" s="1">
        <v>12000</v>
      </c>
      <c r="W7" s="1">
        <v>3000</v>
      </c>
      <c r="X7" s="1">
        <v>1500</v>
      </c>
      <c r="Y7" s="1">
        <v>2000</v>
      </c>
      <c r="AA7" s="1">
        <v>5000</v>
      </c>
      <c r="AB7" s="6"/>
      <c r="AC7" s="1">
        <f t="shared" si="0"/>
        <v>175644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80322</v>
      </c>
      <c r="AI7" s="9">
        <f t="shared" si="4"/>
        <v>72172</v>
      </c>
      <c r="AJ7" s="10">
        <f t="shared" si="5"/>
        <v>152494</v>
      </c>
    </row>
    <row r="8" spans="1:36" ht="15" customHeight="1" x14ac:dyDescent="0.25">
      <c r="A8" s="1" t="s">
        <v>42</v>
      </c>
      <c r="D8" s="1">
        <v>15650</v>
      </c>
      <c r="E8" s="1">
        <v>0</v>
      </c>
      <c r="F8" s="1">
        <v>26100</v>
      </c>
      <c r="G8" s="1">
        <v>1015</v>
      </c>
      <c r="H8" s="1">
        <v>3500</v>
      </c>
      <c r="I8" s="1">
        <v>3000</v>
      </c>
      <c r="J8" s="1">
        <v>1000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 t="shared" si="0"/>
        <v>137575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61287.5</v>
      </c>
      <c r="AI8" s="9">
        <f t="shared" si="4"/>
        <v>53137.5</v>
      </c>
      <c r="AJ8" s="10">
        <f t="shared" si="5"/>
        <v>114425</v>
      </c>
    </row>
    <row r="9" spans="1:36" ht="15" customHeight="1" x14ac:dyDescent="0.25">
      <c r="A9" s="1" t="s">
        <v>43</v>
      </c>
      <c r="C9" s="1">
        <v>4369</v>
      </c>
      <c r="D9" s="1">
        <v>15700</v>
      </c>
      <c r="E9" s="1">
        <v>0</v>
      </c>
      <c r="F9" s="1">
        <v>26100</v>
      </c>
      <c r="G9" s="1">
        <v>1015</v>
      </c>
      <c r="H9" s="1">
        <v>3500</v>
      </c>
      <c r="I9" s="1">
        <v>3000</v>
      </c>
      <c r="J9" s="1">
        <v>1000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140494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62747</v>
      </c>
      <c r="AI9" s="9">
        <f t="shared" si="4"/>
        <v>54547</v>
      </c>
      <c r="AJ9" s="10">
        <f t="shared" si="5"/>
        <v>117294</v>
      </c>
    </row>
    <row r="10" spans="1:36" ht="15" customHeight="1" x14ac:dyDescent="0.25">
      <c r="A10" s="1" t="s">
        <v>44</v>
      </c>
      <c r="D10" s="1">
        <v>15700</v>
      </c>
      <c r="E10" s="1">
        <v>0</v>
      </c>
      <c r="F10" s="1">
        <v>45000</v>
      </c>
      <c r="G10" s="1">
        <v>1015</v>
      </c>
      <c r="H10" s="1">
        <v>3500</v>
      </c>
      <c r="I10" s="1">
        <v>3000</v>
      </c>
      <c r="J10" s="1">
        <v>1000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156375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70687.5</v>
      </c>
      <c r="AI10" s="9">
        <f t="shared" si="4"/>
        <v>62487.5</v>
      </c>
      <c r="AJ10" s="10">
        <f t="shared" si="5"/>
        <v>133175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17322.899999999998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" t="str">
        <f>IF(ISNUMBER(Julio!AA33),AA5-Julio!AA33,"")</f>
        <v/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" t="str">
        <f>IF(ISNUMBER(Agosto!AA33),AA6-Agosto!AA33,"")</f>
        <v/>
      </c>
      <c r="AC28" s="12">
        <f t="shared" si="7"/>
        <v>0</v>
      </c>
    </row>
    <row r="29" spans="1:29" ht="15" customHeight="1" x14ac:dyDescent="0.25">
      <c r="A29" s="1" t="s">
        <v>41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-1886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13.809999999999945</v>
      </c>
      <c r="L33" s="12">
        <f t="shared" si="8"/>
        <v>327.09999999999673</v>
      </c>
      <c r="M33" s="12">
        <f t="shared" si="8"/>
        <v>-13596.369999999999</v>
      </c>
      <c r="N33" s="12">
        <f t="shared" si="8"/>
        <v>80</v>
      </c>
      <c r="O33" s="12">
        <f t="shared" si="8"/>
        <v>11414.84</v>
      </c>
      <c r="P33" s="12">
        <f t="shared" si="8"/>
        <v>1800</v>
      </c>
      <c r="Q33" s="12">
        <f t="shared" si="8"/>
        <v>50.820000000000164</v>
      </c>
      <c r="R33" s="12">
        <f t="shared" si="8"/>
        <v>754.65999999999985</v>
      </c>
      <c r="S33" s="12">
        <f t="shared" si="8"/>
        <v>1893.8000000000002</v>
      </c>
      <c r="T33" s="12">
        <f t="shared" si="8"/>
        <v>1738.5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2075.91</v>
      </c>
      <c r="Y33" s="12">
        <f t="shared" si="8"/>
        <v>-213.27999999999975</v>
      </c>
      <c r="Z33" s="12">
        <f t="shared" si="8"/>
        <v>-1650</v>
      </c>
      <c r="AA33" s="12">
        <f t="shared" si="8"/>
        <v>-16550.809999999998</v>
      </c>
      <c r="AC33" s="12">
        <f t="shared" si="7"/>
        <v>-9969.27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P23" zoomScaleNormal="100" workbookViewId="0">
      <selection activeCell="W32" sqref="W3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topLeftCell="K12" zoomScaleNormal="100" workbookViewId="0">
      <selection activeCell="AC25" sqref="AC2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A22" zoomScaleNormal="100" workbookViewId="0">
      <selection activeCell="H33" sqref="H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D22" zoomScaleNormal="100" workbookViewId="0">
      <selection activeCell="Q33" sqref="Q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2026-08-01T10:57:14Z</dcterms:modified>
  <dc:language>en-US</dc:language>
</cp:coreProperties>
</file>