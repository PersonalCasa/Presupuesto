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9" i="6" l="1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W32" i="6"/>
  <c r="W18" i="1" s="1"/>
  <c r="V32" i="6"/>
  <c r="U32" i="6"/>
  <c r="U29" i="1" s="1"/>
  <c r="T32" i="6"/>
  <c r="S32" i="6"/>
  <c r="R32" i="6"/>
  <c r="R18" i="1" s="1"/>
  <c r="Q32" i="6"/>
  <c r="P32" i="6"/>
  <c r="P29" i="1" s="1"/>
  <c r="O32" i="6"/>
  <c r="N32" i="6"/>
  <c r="M32" i="6"/>
  <c r="L32" i="6"/>
  <c r="L29" i="1" s="1"/>
  <c r="K32" i="6"/>
  <c r="K18" i="1" s="1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X29" i="1"/>
  <c r="V29" i="1"/>
  <c r="T29" i="1"/>
  <c r="S29" i="1"/>
  <c r="Q29" i="1"/>
  <c r="O29" i="1"/>
  <c r="N29" i="1"/>
  <c r="M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X18" i="1"/>
  <c r="V18" i="1"/>
  <c r="T18" i="1"/>
  <c r="S18" i="1"/>
  <c r="Q18" i="1"/>
  <c r="O18" i="1"/>
  <c r="N18" i="1"/>
  <c r="M18" i="1"/>
  <c r="L18" i="1"/>
  <c r="J18" i="1"/>
  <c r="I18" i="1"/>
  <c r="H18" i="1"/>
  <c r="G18" i="1"/>
  <c r="D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U18" i="1" l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<sst xmlns="http://schemas.openxmlformats.org/spreadsheetml/2006/main" count="413" uniqueCount="91">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</sst>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F1" zoomScaleNormal="100" workbookViewId="0">
      <selection activeCell="F7" sqref="F7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176949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63474.5</v>
      </c>
      <c r="AI7" s="9">
        <f t="shared" si="4"/>
        <v>72774.5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 t="str">
        <f>IF(Setiembre!J32&gt;0,Setiembre!J32,"")</f>
        <v/>
      </c>
      <c r="K18" s="1">
        <f>IF(Setiembre!K32&gt;0,Setiembre!K32,"")</f>
        <v>23112.77</v>
      </c>
      <c r="L18" s="1">
        <f>IF(Setiembre!L32&gt;0,Setiembre!L32,"")</f>
        <v>7502.34</v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5888.6799999999994</v>
      </c>
      <c r="S18" s="1" t="str">
        <f>IF(Setiembre!S32&gt;0,Setiembre!S32,"")</f>
        <v/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1901.1299999999999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 t="str">
        <f>IF(ISNUMBER(Setiembre!J32),J7-Setiembre!J32,"")</f>
        <v/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13111.32</v>
      </c>
      <c r="S29" s="1" t="str">
        <f>IF(ISNUMBER(Setiembre!S32),S7-Setiembre!S32,"")</f>
        <v/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3098.87</v>
      </c>
      <c r="AC29" s="12">
        <f t="shared" si="7"/>
        <v>17637.939999999999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17429.189999999999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-14840</v>
      </c>
      <c r="AC33" s="12">
        <f t="shared" si="7"/>
        <v>6152.9999999999964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M1" zoomScaleNormal="100" workbookViewId="0">
      <selection activeCell="U10" sqref="U1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 t="str">
        <f t="shared" si="1"/>
        <v/>
      </c>
      <c r="K32" s="12">
        <f t="shared" si="1"/>
        <v>23112.77</v>
      </c>
      <c r="L32" s="12">
        <f t="shared" si="1"/>
        <v>7502.34</v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5888.6799999999994</v>
      </c>
      <c r="S32" s="12" t="str">
        <f t="shared" si="1"/>
        <v/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1901.1299999999999</v>
      </c>
      <c r="AB32" s="38" t="str">
        <f t="shared" si="1"/>
        <v/>
      </c>
      <c r="AC32" s="12">
        <f t="shared" si="1"/>
        <v>89532.060000000012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2026-09-09T13:18:15Z</dcterms:modified>
  <dc:language>en-US</dc:language>
</cp:coreProperties>
</file>