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4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U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W17" i="1" l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O33" i="1" l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<sst xmlns="http://schemas.openxmlformats.org/spreadsheetml/2006/main" count="412" uniqueCount="88">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</sst>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9" borderId="1" xfId="0" applyFill="1" applyBorder="1"/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E13" zoomScaleNormal="100" workbookViewId="0">
      <selection activeCell="S19" sqref="S19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2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15750</v>
      </c>
      <c r="E7" s="1">
        <v>0</v>
      </c>
      <c r="F7" s="1">
        <v>27000</v>
      </c>
      <c r="G7" s="1">
        <v>1100</v>
      </c>
      <c r="H7" s="1">
        <v>3300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151229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68114.5</v>
      </c>
      <c r="AI7" s="9">
        <f t="shared" si="4"/>
        <v>59864.5</v>
      </c>
      <c r="AJ7" s="10">
        <f t="shared" si="5"/>
        <v>127979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>SUM(B8:AB8)</f>
        <v>163160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74080</v>
      </c>
      <c r="AI8" s="9">
        <f t="shared" si="4"/>
        <v>65830</v>
      </c>
      <c r="AJ8" s="10">
        <f t="shared" si="5"/>
        <v>139910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141079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63039.5</v>
      </c>
      <c r="AI9" s="9">
        <f t="shared" si="4"/>
        <v>54739.5</v>
      </c>
      <c r="AJ9" s="10">
        <f t="shared" si="5"/>
        <v>117779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156060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70530</v>
      </c>
      <c r="AI10" s="9">
        <f t="shared" si="4"/>
        <v>62230</v>
      </c>
      <c r="AJ10" s="10">
        <f t="shared" si="5"/>
        <v>132760</v>
      </c>
    </row>
    <row r="12" spans="1:36" ht="15" customHeight="1" x14ac:dyDescent="0.25">
      <c r="A12" s="43" t="s">
        <v>45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10325.029999999999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3841.8099999999995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1190.1599999999999</v>
      </c>
      <c r="Z17" s="1" t="str">
        <f>IF(Agosto!Z33&gt;0,Agosto!Z33,"")</f>
        <v/>
      </c>
      <c r="AA17" s="1">
        <f>IF(Agosto!AA33&gt;0,Agosto!AA33,"")</f>
        <v>5873.9800000000005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4" t="s">
        <v>48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-2325.0299999999988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1158.1900000000005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2809.84</v>
      </c>
      <c r="Z28" s="1" t="str">
        <f>IF(ISNUMBER(Agosto!Z33),Z6-Agosto!Z33,"")</f>
        <v/>
      </c>
      <c r="AA28" s="1">
        <f>IF(ISNUMBER(Agosto!AA33),AA6-Agosto!AA33,"")</f>
        <v>-873.98000000000047</v>
      </c>
      <c r="AC28" s="12">
        <f t="shared" si="7"/>
        <v>5480.5999999999995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9089.8100000000013</v>
      </c>
      <c r="P33" s="12">
        <f t="shared" si="8"/>
        <v>1800</v>
      </c>
      <c r="Q33" s="12">
        <f t="shared" si="8"/>
        <v>50.820000000000164</v>
      </c>
      <c r="R33" s="12">
        <f t="shared" si="8"/>
        <v>4317.869999999999</v>
      </c>
      <c r="S33" s="12">
        <f t="shared" si="8"/>
        <v>1935.6800000000003</v>
      </c>
      <c r="T33" s="12">
        <f t="shared" si="8"/>
        <v>2896.6900000000005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2596.5600000000004</v>
      </c>
      <c r="Z33" s="12">
        <f t="shared" si="8"/>
        <v>-1650</v>
      </c>
      <c r="AA33" s="12">
        <f t="shared" si="8"/>
        <v>-17424.789999999997</v>
      </c>
      <c r="AC33" s="12">
        <f t="shared" si="7"/>
        <v>-4488.6700000000019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13" zoomScaleNormal="100" workbookViewId="0">
      <selection activeCell="D35" sqref="D3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topLeftCell="N16" zoomScaleNormal="100" workbookViewId="0">
      <selection activeCell="R25" sqref="R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5">
        <v>150</v>
      </c>
      <c r="P22" s="35"/>
      <c r="Q22" s="35"/>
      <c r="R22" s="45">
        <v>800</v>
      </c>
      <c r="S22" s="45">
        <v>1600</v>
      </c>
      <c r="T22" s="35"/>
      <c r="U22" s="35"/>
      <c r="V22" s="35"/>
      <c r="W22" s="35"/>
      <c r="X22" s="35"/>
      <c r="Y22" s="35"/>
      <c r="Z22" s="35"/>
      <c r="AA22" s="45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5">
        <v>2600</v>
      </c>
      <c r="P23" s="35"/>
      <c r="Q23" s="35"/>
      <c r="R23" s="45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>
        <v>0</v>
      </c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10325.029999999999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3841.8099999999995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1190.1599999999999</v>
      </c>
      <c r="Z33" s="12" t="str">
        <f t="shared" si="1"/>
        <v/>
      </c>
      <c r="AA33" s="12">
        <f t="shared" si="1"/>
        <v>5873.9800000000005</v>
      </c>
      <c r="AB33" s="38" t="str">
        <f t="shared" si="1"/>
        <v/>
      </c>
      <c r="AC33" s="12">
        <f t="shared" si="1"/>
        <v>146943.37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2026-08-26T18:28:56Z</dcterms:modified>
  <dc:language>en-US</dc:language>
</cp:coreProperties>
</file>