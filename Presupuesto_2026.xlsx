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3DD62829-3EC2-499E-84CE-1A4636831C4C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3" i="3" l="1"/>
  <c r="AC13" i="3" s="1"/>
  <c r="AB12" i="3"/>
  <c r="R11" i="3"/>
  <c r="S11" i="3"/>
  <c r="AA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C33" i="5" s="1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3" i="4" s="1"/>
  <c r="AB32" i="3"/>
  <c r="AC15" i="1" s="1"/>
  <c r="AA32" i="3"/>
  <c r="AA15" i="1" s="1"/>
  <c r="Z32" i="3"/>
  <c r="Y32" i="3"/>
  <c r="X32" i="3"/>
  <c r="W32" i="3"/>
  <c r="V32" i="3"/>
  <c r="U32" i="3"/>
  <c r="T32" i="3"/>
  <c r="S32" i="3"/>
  <c r="Q32" i="3"/>
  <c r="P32" i="3"/>
  <c r="P26" i="1" s="1"/>
  <c r="O32" i="3"/>
  <c r="N32" i="3"/>
  <c r="M32" i="3"/>
  <c r="M26" i="1" s="1"/>
  <c r="J32" i="3"/>
  <c r="J26" i="1" s="1"/>
  <c r="I32" i="3"/>
  <c r="G32" i="3"/>
  <c r="G15" i="1" s="1"/>
  <c r="F32" i="3"/>
  <c r="E32" i="3"/>
  <c r="D32" i="3"/>
  <c r="D26" i="1" s="1"/>
  <c r="C32" i="3"/>
  <c r="B32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AC12" i="3"/>
  <c r="AC11" i="3"/>
  <c r="L10" i="3"/>
  <c r="AC10" i="3" s="1"/>
  <c r="K9" i="3"/>
  <c r="AC9" i="3" s="1"/>
  <c r="AC8" i="3"/>
  <c r="R8" i="3"/>
  <c r="AC7" i="3"/>
  <c r="AC6" i="3"/>
  <c r="AA6" i="3"/>
  <c r="R6" i="3"/>
  <c r="AA5" i="3"/>
  <c r="R5" i="3"/>
  <c r="AC5" i="3" s="1"/>
  <c r="AC4" i="3"/>
  <c r="R4" i="3"/>
  <c r="R3" i="3"/>
  <c r="I3" i="3"/>
  <c r="H3" i="3"/>
  <c r="H32" i="3" s="1"/>
  <c r="AC2" i="3"/>
  <c r="AA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C32" i="1" s="1"/>
  <c r="AC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C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C29" i="1" s="1"/>
  <c r="C29" i="1"/>
  <c r="B29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C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Z26" i="1"/>
  <c r="Y26" i="1"/>
  <c r="X26" i="1"/>
  <c r="W26" i="1"/>
  <c r="V26" i="1"/>
  <c r="U26" i="1"/>
  <c r="T26" i="1"/>
  <c r="S26" i="1"/>
  <c r="Q26" i="1"/>
  <c r="O26" i="1"/>
  <c r="N26" i="1"/>
  <c r="I26" i="1"/>
  <c r="G26" i="1"/>
  <c r="F26" i="1"/>
  <c r="E26" i="1"/>
  <c r="C26" i="1"/>
  <c r="B26" i="1"/>
  <c r="Z25" i="1"/>
  <c r="Z33" i="1" s="1"/>
  <c r="X25" i="1"/>
  <c r="X33" i="1" s="1"/>
  <c r="W25" i="1"/>
  <c r="W33" i="1" s="1"/>
  <c r="V25" i="1"/>
  <c r="V33" i="1" s="1"/>
  <c r="T25" i="1"/>
  <c r="T33" i="1" s="1"/>
  <c r="S25" i="1"/>
  <c r="S33" i="1" s="1"/>
  <c r="P25" i="1"/>
  <c r="N25" i="1"/>
  <c r="N33" i="1" s="1"/>
  <c r="M25" i="1"/>
  <c r="L25" i="1"/>
  <c r="K25" i="1"/>
  <c r="J25" i="1"/>
  <c r="I25" i="1"/>
  <c r="I33" i="1" s="1"/>
  <c r="G25" i="1"/>
  <c r="F25" i="1"/>
  <c r="E25" i="1"/>
  <c r="E33" i="1" s="1"/>
  <c r="D25" i="1"/>
  <c r="C25" i="1"/>
  <c r="C33" i="1" s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C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Z15" i="1"/>
  <c r="Y15" i="1"/>
  <c r="X15" i="1"/>
  <c r="W15" i="1"/>
  <c r="V15" i="1"/>
  <c r="U15" i="1"/>
  <c r="T15" i="1"/>
  <c r="S15" i="1"/>
  <c r="Q15" i="1"/>
  <c r="P15" i="1"/>
  <c r="O15" i="1"/>
  <c r="N15" i="1"/>
  <c r="M15" i="1"/>
  <c r="I15" i="1"/>
  <c r="F15" i="1"/>
  <c r="E15" i="1"/>
  <c r="C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K10" i="1"/>
  <c r="AC10" i="1" s="1"/>
  <c r="AD9" i="1"/>
  <c r="AF9" i="1" s="1"/>
  <c r="AC9" i="1"/>
  <c r="AI9" i="1" s="1"/>
  <c r="K9" i="1"/>
  <c r="AD8" i="1"/>
  <c r="AF8" i="1" s="1"/>
  <c r="K8" i="1"/>
  <c r="AC8" i="1" s="1"/>
  <c r="AD7" i="1"/>
  <c r="AF7" i="1" s="1"/>
  <c r="K7" i="1"/>
  <c r="AC7" i="1" s="1"/>
  <c r="AD6" i="1"/>
  <c r="AF6" i="1" s="1"/>
  <c r="K6" i="1"/>
  <c r="AC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R32" i="3" l="1"/>
  <c r="R26" i="1" s="1"/>
  <c r="M33" i="1"/>
  <c r="AH9" i="1"/>
  <c r="AJ9" i="1" s="1"/>
  <c r="AC28" i="1"/>
  <c r="F33" i="1"/>
  <c r="G33" i="1"/>
  <c r="AA26" i="1"/>
  <c r="D15" i="1"/>
  <c r="D33" i="1"/>
  <c r="J15" i="1"/>
  <c r="J33" i="1"/>
  <c r="P33" i="1"/>
  <c r="AH10" i="1"/>
  <c r="AI10" i="1"/>
  <c r="Q14" i="1"/>
  <c r="Q25" i="1"/>
  <c r="Q33" i="1" s="1"/>
  <c r="AI6" i="1"/>
  <c r="AH6" i="1"/>
  <c r="AJ6" i="1" s="1"/>
  <c r="H26" i="1"/>
  <c r="H15" i="1"/>
  <c r="AA14" i="1"/>
  <c r="AA25" i="1"/>
  <c r="AA33" i="1" s="1"/>
  <c r="O14" i="1"/>
  <c r="O25" i="1"/>
  <c r="O33" i="1" s="1"/>
  <c r="AH8" i="1"/>
  <c r="AI8" i="1"/>
  <c r="AI7" i="1"/>
  <c r="AH7" i="1"/>
  <c r="H25" i="1"/>
  <c r="H33" i="1" s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C3" i="3"/>
  <c r="AC32" i="3" s="1"/>
  <c r="AC14" i="2"/>
  <c r="AH4" i="1"/>
  <c r="AJ4" i="1" s="1"/>
  <c r="M38" i="1"/>
  <c r="N38" i="1"/>
  <c r="AC7" i="2"/>
  <c r="AC33" i="2" s="1"/>
  <c r="L39" i="1"/>
  <c r="R15" i="1" l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<sst xmlns="http://schemas.openxmlformats.org/spreadsheetml/2006/main" count="400" uniqueCount="77">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</sst>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4"/>
  <sheetViews>
    <sheetView tabSelected="1" zoomScaleNormal="100" workbookViewId="0">
      <selection sqref="A1:AB1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:K10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15600</v>
      </c>
      <c r="E6" s="1">
        <v>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f t="shared" si="6"/>
        <v>17700</v>
      </c>
      <c r="L6" s="1">
        <v>7500</v>
      </c>
      <c r="M6" s="1">
        <v>7500</v>
      </c>
      <c r="N6" s="1">
        <v>850</v>
      </c>
      <c r="O6" s="1">
        <v>4400</v>
      </c>
      <c r="P6" s="1">
        <v>1800</v>
      </c>
      <c r="Q6" s="1">
        <v>2500</v>
      </c>
      <c r="R6" s="1">
        <v>20000</v>
      </c>
      <c r="S6" s="1">
        <v>2500</v>
      </c>
      <c r="T6" s="1">
        <v>5000</v>
      </c>
      <c r="W6" s="1">
        <v>3000</v>
      </c>
      <c r="X6" s="1">
        <v>1500</v>
      </c>
      <c r="Y6" s="1">
        <v>2000</v>
      </c>
      <c r="AA6" s="1">
        <v>5000</v>
      </c>
      <c r="AB6" s="6"/>
      <c r="AC6" s="1">
        <f t="shared" si="0"/>
        <v>131450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58225</v>
      </c>
      <c r="AI6" s="9">
        <f t="shared" si="4"/>
        <v>50125</v>
      </c>
      <c r="AJ6" s="10">
        <f t="shared" si="5"/>
        <v>108350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15650</v>
      </c>
      <c r="E7" s="1">
        <v>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f t="shared" si="6"/>
        <v>17700</v>
      </c>
      <c r="L7" s="1">
        <v>7500</v>
      </c>
      <c r="M7" s="1">
        <v>7500</v>
      </c>
      <c r="N7" s="1">
        <v>850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W7" s="1">
        <v>3000</v>
      </c>
      <c r="X7" s="1">
        <v>1500</v>
      </c>
      <c r="Y7" s="1">
        <v>2000</v>
      </c>
      <c r="Z7" s="1">
        <v>1350</v>
      </c>
      <c r="AA7" s="1">
        <v>5000</v>
      </c>
      <c r="AB7" s="6"/>
      <c r="AC7" s="1">
        <f t="shared" si="0"/>
        <v>162219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73609.5</v>
      </c>
      <c r="AI7" s="9">
        <f t="shared" si="4"/>
        <v>65459.5</v>
      </c>
      <c r="AJ7" s="10">
        <f t="shared" si="5"/>
        <v>139069</v>
      </c>
    </row>
    <row r="8" spans="1:36" ht="15" customHeight="1" x14ac:dyDescent="0.25">
      <c r="A8" s="1" t="s">
        <v>42</v>
      </c>
      <c r="D8" s="1">
        <v>15650</v>
      </c>
      <c r="E8" s="1">
        <v>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f t="shared" si="6"/>
        <v>17700</v>
      </c>
      <c r="L8" s="1">
        <v>7500</v>
      </c>
      <c r="M8" s="1">
        <v>7500</v>
      </c>
      <c r="N8" s="1">
        <v>850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U8" s="1">
        <v>12000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146800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65900</v>
      </c>
      <c r="AI8" s="9">
        <f t="shared" si="4"/>
        <v>57750</v>
      </c>
      <c r="AJ8" s="10">
        <f t="shared" si="5"/>
        <v>123650</v>
      </c>
    </row>
    <row r="9" spans="1:36" ht="15" customHeight="1" x14ac:dyDescent="0.25">
      <c r="A9" s="1" t="s">
        <v>43</v>
      </c>
      <c r="C9" s="1">
        <v>4369</v>
      </c>
      <c r="D9" s="1">
        <v>15700</v>
      </c>
      <c r="E9" s="1">
        <v>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f t="shared" si="6"/>
        <v>17700</v>
      </c>
      <c r="L9" s="1">
        <v>7500</v>
      </c>
      <c r="M9" s="1">
        <v>7500</v>
      </c>
      <c r="N9" s="1">
        <v>850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137719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61359.5</v>
      </c>
      <c r="AI9" s="9">
        <f t="shared" si="4"/>
        <v>53159.5</v>
      </c>
      <c r="AJ9" s="10">
        <f t="shared" si="5"/>
        <v>114519</v>
      </c>
    </row>
    <row r="10" spans="1:36" ht="15" customHeight="1" x14ac:dyDescent="0.25">
      <c r="A10" s="1" t="s">
        <v>44</v>
      </c>
      <c r="D10" s="1">
        <v>15700</v>
      </c>
      <c r="E10" s="1">
        <v>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f t="shared" si="6"/>
        <v>17700</v>
      </c>
      <c r="L10" s="1">
        <v>7500</v>
      </c>
      <c r="M10" s="1">
        <v>7500</v>
      </c>
      <c r="N10" s="1">
        <v>850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153600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69300</v>
      </c>
      <c r="AI10" s="9">
        <f t="shared" si="4"/>
        <v>61100</v>
      </c>
      <c r="AJ10" s="10">
        <f t="shared" si="5"/>
        <v>130400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26054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 t="str">
        <f>IF(Junio!O32&gt;0,Junio!O32,"")</f>
        <v/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13360.970000000001</v>
      </c>
      <c r="S15" s="1">
        <f>IF(Junio!S32&gt;0,Junio!S32,"")</f>
        <v>276.39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>
        <f>IF(Junio!AA32&gt;0,Junio!AA32,"")</f>
        <v>16845.239999999998</v>
      </c>
      <c r="AC15" s="1">
        <f>IF(Junio!AB32&gt;0,Junio!AB32,"")</f>
        <v>973.77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9446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 t="str">
        <f>IF(ISNUMBER(Junio!O32),O4-Junio!O32,"")</f>
        <v/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6639.0299999999988</v>
      </c>
      <c r="S26" s="1">
        <f>IF(ISNUMBER(Junio!S32),S4-Junio!S32,"")</f>
        <v>2223.61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">
        <f>IF(ISNUMBER(Junio!AA32),AA4-Junio!AA32,"")</f>
        <v>-11845.239999999998</v>
      </c>
      <c r="AC26" s="12">
        <f t="shared" si="7"/>
        <v>-6871.9199999999983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" t="str">
        <f>IF(ISNUMBER(Julio!AA33),AA5-Julio!AA33,"")</f>
        <v/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" t="str">
        <f>IF(ISNUMBER(Agosto!AA33),AA6-Agosto!AA33,"")</f>
        <v/>
      </c>
      <c r="AC28" s="12">
        <f t="shared" si="7"/>
        <v>0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9492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13.809999999999945</v>
      </c>
      <c r="L33" s="12">
        <f t="shared" si="8"/>
        <v>327.09999999999673</v>
      </c>
      <c r="M33" s="12">
        <f t="shared" si="8"/>
        <v>-13596.369999999999</v>
      </c>
      <c r="N33" s="12">
        <f t="shared" si="8"/>
        <v>80</v>
      </c>
      <c r="O33" s="12">
        <f t="shared" si="8"/>
        <v>1219.2399999999998</v>
      </c>
      <c r="P33" s="12">
        <f t="shared" si="8"/>
        <v>1800</v>
      </c>
      <c r="Q33" s="12">
        <f t="shared" si="8"/>
        <v>50.820000000000164</v>
      </c>
      <c r="R33" s="12">
        <f t="shared" si="8"/>
        <v>7019.8199999999961</v>
      </c>
      <c r="S33" s="12">
        <f t="shared" si="8"/>
        <v>3912.61</v>
      </c>
      <c r="T33" s="12">
        <f t="shared" si="8"/>
        <v>1738.5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790.91000000000008</v>
      </c>
      <c r="Y33" s="12">
        <f t="shared" si="8"/>
        <v>219.67000000000007</v>
      </c>
      <c r="Z33" s="12">
        <f t="shared" si="8"/>
        <v>0</v>
      </c>
      <c r="AA33" s="12">
        <f t="shared" si="8"/>
        <v>-11550.809999999998</v>
      </c>
      <c r="AC33" s="12">
        <f t="shared" si="7"/>
        <v>5295.0499999999956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3"/>
  <sheetViews>
    <sheetView zoomScaleNormal="100" workbookViewId="0">
      <selection activeCell="C12" sqref="C1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32"/>
  <sheetViews>
    <sheetView topLeftCell="U1" zoomScaleNormal="100" workbookViewId="0">
      <selection activeCell="AB12" sqref="AB1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6" width="21.42578125" customWidth="1"/>
    <col min="27" max="27" width="13" customWidth="1"/>
    <col min="28" max="28" width="14" customWidth="1"/>
    <col min="29" max="29" width="25" customWidth="1"/>
    <col min="30" max="30" width="28.7109375" bestFit="1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>
        <f>208-3.41</f>
        <v>204.59</v>
      </c>
      <c r="AB2" s="36"/>
      <c r="AC2" s="35">
        <f t="shared" ref="AC2:AC31" si="0">SUM(B2:AA2)</f>
        <v>6638.9299999999994</v>
      </c>
      <c r="AD2" s="35" t="s">
        <v>72</v>
      </c>
    </row>
    <row r="3" spans="1:30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17515.509999999998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628.97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>
        <f>980+500+256-8.2-4.2</f>
        <v>1723.6</v>
      </c>
      <c r="AB5" s="36"/>
      <c r="AC5" s="35">
        <f t="shared" si="0"/>
        <v>2121.42</v>
      </c>
      <c r="AD5" s="35" t="s">
        <v>73</v>
      </c>
    </row>
    <row r="6" spans="1:30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>
        <f>99-1.62</f>
        <v>97.38</v>
      </c>
      <c r="AB6" s="36"/>
      <c r="AC6" s="35">
        <f t="shared" si="0"/>
        <v>19998.63</v>
      </c>
      <c r="AD6" s="35" t="s">
        <v>74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1304.6799999999998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>
        <v>2900</v>
      </c>
      <c r="AB9" s="36"/>
      <c r="AC9" s="35">
        <f t="shared" si="0"/>
        <v>4186.1900000000005</v>
      </c>
      <c r="AD9" s="35" t="s">
        <v>75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>
        <f>7700+4290-70.33</f>
        <v>11919.67</v>
      </c>
      <c r="AB10" s="36"/>
      <c r="AC10" s="35">
        <f t="shared" si="0"/>
        <v>22182.57</v>
      </c>
      <c r="AD10" s="35" t="s">
        <v>76</v>
      </c>
    </row>
    <row r="11" spans="1:30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29102.05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>
        <f>990-16.23</f>
        <v>973.77</v>
      </c>
      <c r="AC12" s="35">
        <f t="shared" si="0"/>
        <v>21668.69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</f>
        <v>1124.28</v>
      </c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1124.28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26054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 t="str">
        <f t="shared" si="1"/>
        <v/>
      </c>
      <c r="P32" s="12">
        <f t="shared" si="1"/>
        <v>1800</v>
      </c>
      <c r="Q32" s="12" t="str">
        <f t="shared" si="1"/>
        <v/>
      </c>
      <c r="R32" s="12">
        <f t="shared" si="1"/>
        <v>13360.970000000001</v>
      </c>
      <c r="S32" s="12">
        <f t="shared" si="1"/>
        <v>276.39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>
        <f t="shared" si="1"/>
        <v>16845.239999999998</v>
      </c>
      <c r="AB32" s="38">
        <f t="shared" si="1"/>
        <v>973.77</v>
      </c>
      <c r="AC32" s="12">
        <f t="shared" si="1"/>
        <v>126471.92000000001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3"/>
  <sheetViews>
    <sheetView topLeftCell="A22" zoomScaleNormal="100" workbookViewId="0">
      <selection activeCell="H33" sqref="H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3"/>
  <sheetViews>
    <sheetView topLeftCell="D22" zoomScaleNormal="100" workbookViewId="0">
      <selection activeCell="Q33" sqref="Q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2026-06-13T13:57:40Z</dcterms:modified>
  <dc:language>en-US</dc:language>
</cp:coreProperties>
</file>