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R18" i="1" s="1"/>
  <c r="Q32" i="6"/>
  <c r="P32" i="6"/>
  <c r="P29" i="1" s="1"/>
  <c r="O32" i="6"/>
  <c r="N32" i="6"/>
  <c r="M32" i="6"/>
  <c r="L32" i="6"/>
  <c r="K32" i="6"/>
  <c r="J32" i="6"/>
  <c r="I32" i="6"/>
  <c r="H32" i="6"/>
  <c r="G32" i="6"/>
  <c r="F32" i="6"/>
  <c r="F29" i="1" s="1"/>
  <c r="E32" i="6"/>
  <c r="E29" i="1" s="1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Q29" i="1"/>
  <c r="O29" i="1"/>
  <c r="N29" i="1"/>
  <c r="M29" i="1"/>
  <c r="L29" i="1"/>
  <c r="K29" i="1"/>
  <c r="J29" i="1"/>
  <c r="I29" i="1"/>
  <c r="H29" i="1"/>
  <c r="G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Q18" i="1"/>
  <c r="O18" i="1"/>
  <c r="N18" i="1"/>
  <c r="M18" i="1"/>
  <c r="L18" i="1"/>
  <c r="K18" i="1"/>
  <c r="J18" i="1"/>
  <c r="I18" i="1"/>
  <c r="H18" i="1"/>
  <c r="G18" i="1"/>
  <c r="D18" i="1"/>
  <c r="C18" i="1"/>
  <c r="B18" i="1"/>
  <c r="AC17" i="1"/>
  <c r="Z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18" i="1" l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<sst xmlns="http://schemas.openxmlformats.org/spreadsheetml/2006/main" count="413" uniqueCount="89">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</sst>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S1" zoomScaleNormal="100" workbookViewId="0">
      <selection activeCell="AI7" sqref="AI7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7500</v>
      </c>
      <c r="M7" s="1">
        <v>25000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12500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175829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62914.5</v>
      </c>
      <c r="AI7" s="9">
        <f t="shared" si="4"/>
        <v>72214.5</v>
      </c>
      <c r="AJ7" s="10">
        <f t="shared" si="5"/>
        <v>135129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>
        <f>IF(Setiembre!E32&gt;0,Setiembre!E32,"")</f>
        <v>498</v>
      </c>
      <c r="F18" s="1">
        <f>IF(Setiembre!F32&gt;0,Setiembre!F32,"")</f>
        <v>18447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1406.6399999999999</v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>
        <f>IF(ISNUMBER(Setiembre!E32),E7-Setiembre!E32,"")</f>
        <v>-498</v>
      </c>
      <c r="F29" s="1">
        <f>IF(ISNUMBER(Setiembre!F32),F7-Setiembre!F32,"")</f>
        <v>8553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17593.36</v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25719.25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-858.81999999999971</v>
      </c>
      <c r="F33" s="12">
        <f t="shared" si="8"/>
        <v>6667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21911.23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-17938.87</v>
      </c>
      <c r="AC33" s="12">
        <f t="shared" si="7"/>
        <v>14234.309999999994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zoomScaleNormal="100" workbookViewId="0">
      <selection activeCell="I5" sqref="I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8779.11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498</v>
      </c>
      <c r="F32" s="12">
        <f t="shared" si="1"/>
        <v>18447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1406.6399999999999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29130.75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2026-09-03T10:51:48Z</dcterms:modified>
  <dc:language>en-US</dc:language>
</cp:coreProperties>
</file>