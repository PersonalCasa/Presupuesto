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F4CA0A5E-0967-4A44-8A7B-644B116796BD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4" i="2" l="1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<sst xmlns="http://schemas.openxmlformats.org/spreadsheetml/2006/main" count="372" uniqueCount="65">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</sst>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N16" zoomScaleNormal="100" workbookViewId="0">
      <selection activeCell="Y25" sqref="Y25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169900</v>
      </c>
      <c r="AB3" s="5">
        <f t="shared" ref="AB3:AB10" si="1">+AA3/2</f>
        <v>84950</v>
      </c>
      <c r="AC3" s="1">
        <v>10000</v>
      </c>
      <c r="AD3" s="5">
        <f t="shared" ref="AD3:AD10" si="2">+AE3-AB3-AC3</f>
        <v>50</v>
      </c>
      <c r="AE3" s="1">
        <v>95000</v>
      </c>
      <c r="AF3" s="6">
        <f>AA3/2-L3</f>
        <v>62750</v>
      </c>
      <c r="AG3" s="7">
        <f t="shared" ref="AG3:AG10" si="3">AA3/2-D3</f>
        <v>69450</v>
      </c>
      <c r="AH3" s="8">
        <f t="shared" ref="AH3:AH10" si="4">AF3+AG3</f>
        <v>132200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139000</v>
      </c>
      <c r="AB4" s="5">
        <f t="shared" si="1"/>
        <v>69500</v>
      </c>
      <c r="AC4" s="1">
        <v>10000</v>
      </c>
      <c r="AD4" s="5">
        <f t="shared" si="2"/>
        <v>15500</v>
      </c>
      <c r="AE4" s="1">
        <v>95000</v>
      </c>
      <c r="AF4" s="6">
        <f t="shared" ref="AF4:AF10" si="5">AA4/2-L4</f>
        <v>62000</v>
      </c>
      <c r="AG4" s="7">
        <f t="shared" si="3"/>
        <v>54000</v>
      </c>
      <c r="AH4" s="8">
        <f t="shared" si="4"/>
        <v>116000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144050</v>
      </c>
      <c r="AB8" s="5">
        <f t="shared" si="1"/>
        <v>72025</v>
      </c>
      <c r="AC8" s="1">
        <v>10000</v>
      </c>
      <c r="AD8" s="5">
        <f t="shared" si="2"/>
        <v>12975</v>
      </c>
      <c r="AE8" s="1">
        <v>95000</v>
      </c>
      <c r="AF8" s="6">
        <f t="shared" si="5"/>
        <v>64525</v>
      </c>
      <c r="AG8" s="7">
        <f t="shared" si="3"/>
        <v>56525</v>
      </c>
      <c r="AH8" s="8">
        <f t="shared" si="4"/>
        <v>121050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134919</v>
      </c>
      <c r="AB9" s="5">
        <f t="shared" si="1"/>
        <v>67459.5</v>
      </c>
      <c r="AC9" s="1">
        <v>10000</v>
      </c>
      <c r="AD9" s="5">
        <f t="shared" si="2"/>
        <v>17540.5</v>
      </c>
      <c r="AE9" s="1">
        <v>95000</v>
      </c>
      <c r="AF9" s="6">
        <f t="shared" si="5"/>
        <v>59959.5</v>
      </c>
      <c r="AG9" s="7">
        <f t="shared" si="3"/>
        <v>51959.5</v>
      </c>
      <c r="AH9" s="8">
        <f t="shared" si="4"/>
        <v>111919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 t="str">
        <f>IF(Mayo!L33&gt;0,Mayo!L33,"")</f>
        <v/>
      </c>
      <c r="M14" s="1">
        <f>IF(Mayo!M33&gt;0,Mayo!M33,"")</f>
        <v>810</v>
      </c>
      <c r="N14" s="1">
        <f>IF(Mayo!N33&gt;0,Mayo!N33,"")</f>
        <v>5694.4100000000008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7815.94</v>
      </c>
      <c r="R14" s="1" t="str">
        <f>IF(Mayo!R33&gt;0,Mayo!R33,"")</f>
        <v/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285.25</v>
      </c>
      <c r="W14" s="1">
        <f>IF(Mayo!W33&gt;0,Mayo!W33,"")</f>
        <v>494.09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3142.62</v>
      </c>
      <c r="AA14" s="1">
        <f>IF(Mayo!AA33&gt;0,Mayo!AA33,"")</f>
        <v>115612.84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 t="str">
        <f>IF(ISNUMBER(Mayo!L33),L3-Mayo!L33,"")</f>
        <v/>
      </c>
      <c r="M25" s="1">
        <f>IF(ISNUMBER(Mayo!M33),M3-Mayo!M33,"")</f>
        <v>40</v>
      </c>
      <c r="N25" s="1">
        <f>IF(ISNUMBER(Mayo!N33),N3-Mayo!N33,"")</f>
        <v>4305.5899999999992</v>
      </c>
      <c r="O25" s="1" t="str">
        <f>IF(ISNUMBER(Mayo!O33),O3-Mayo!O33,"")</f>
        <v/>
      </c>
      <c r="P25" s="1">
        <f>IF(ISNUMBER(Mayo!P33),P3-Mayo!P33,"")</f>
        <v>50.820000000000164</v>
      </c>
      <c r="Q25" s="1">
        <f>IF(ISNUMBER(Mayo!Q33),Q3-Mayo!Q33,"")</f>
        <v>12184.060000000001</v>
      </c>
      <c r="R25" s="1" t="str">
        <f>IF(ISNUMBER(Mayo!R33),R3-Mayo!R33,"")</f>
        <v/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2714.75</v>
      </c>
      <c r="W25" s="1">
        <f>IF(ISNUMBER(Mayo!W33),W3-Mayo!W33,"")</f>
        <v>1005.9100000000001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857.38000000000011</v>
      </c>
      <c r="AA25" s="10">
        <f t="shared" ref="AA25:AA33" si="6">SUMIF(B25:Z25,"&lt;&gt;"&amp;"")</f>
        <v>25037.159999999996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0</v>
      </c>
      <c r="M33" s="10">
        <f t="shared" si="7"/>
        <v>40</v>
      </c>
      <c r="N33" s="10">
        <f t="shared" si="7"/>
        <v>4305.5899999999992</v>
      </c>
      <c r="O33" s="10">
        <f t="shared" si="7"/>
        <v>0</v>
      </c>
      <c r="P33" s="10">
        <f t="shared" si="7"/>
        <v>50.820000000000164</v>
      </c>
      <c r="Q33" s="10">
        <f t="shared" si="7"/>
        <v>12184.060000000001</v>
      </c>
      <c r="R33" s="10">
        <f t="shared" si="7"/>
        <v>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2714.75</v>
      </c>
      <c r="W33" s="10">
        <f t="shared" si="7"/>
        <v>1005.9100000000001</v>
      </c>
      <c r="X33" s="10">
        <f t="shared" si="7"/>
        <v>0</v>
      </c>
      <c r="Y33" s="10">
        <f t="shared" si="7"/>
        <v>0</v>
      </c>
      <c r="Z33" s="10">
        <f t="shared" si="7"/>
        <v>857.38000000000011</v>
      </c>
      <c r="AA33" s="10">
        <f t="shared" si="6"/>
        <v>25037.159999999996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O1" zoomScaleNormal="100" workbookViewId="0">
      <selection activeCell="T15" sqref="T1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 t="str">
        <f t="shared" si="1"/>
        <v/>
      </c>
      <c r="M33" s="10">
        <f t="shared" si="1"/>
        <v>810</v>
      </c>
      <c r="N33" s="10">
        <f t="shared" si="1"/>
        <v>5694.4100000000008</v>
      </c>
      <c r="O33" s="10" t="str">
        <f t="shared" si="1"/>
        <v/>
      </c>
      <c r="P33" s="10">
        <f t="shared" si="1"/>
        <v>2449.1799999999998</v>
      </c>
      <c r="Q33" s="10">
        <f t="shared" si="1"/>
        <v>7815.94</v>
      </c>
      <c r="R33" s="10" t="str">
        <f t="shared" si="1"/>
        <v/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285.25</v>
      </c>
      <c r="W33" s="10">
        <f t="shared" si="1"/>
        <v>494.09</v>
      </c>
      <c r="X33" s="10" t="str">
        <f t="shared" si="1"/>
        <v/>
      </c>
      <c r="Y33" s="10" t="str">
        <f t="shared" si="1"/>
        <v/>
      </c>
      <c r="Z33" s="10">
        <f t="shared" si="1"/>
        <v>3142.62</v>
      </c>
      <c r="AA33" s="10">
        <f t="shared" si="1"/>
        <v>115612.84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2026-05-14T09:01:12Z</dcterms:modified>
  <dc:language>en-US</dc:language>
</cp:coreProperties>
</file>