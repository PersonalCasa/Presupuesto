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89bf34ef3ebdbf8/Desktop/Nico/"/>
    </mc:Choice>
  </mc:AlternateContent>
  <xr:revisionPtr revIDLastSave="35" documentId="11_3528FC9679616F11138CF261575EFE9D5C3E667E" xr6:coauthVersionLast="47" xr6:coauthVersionMax="47" xr10:uidLastSave="{813554D3-26ED-4233-8B7A-084F051B83B9}"/>
  <bookViews>
    <workbookView xWindow="-108" yWindow="-108" windowWidth="23256" windowHeight="13896" tabRatio="500" firstSheet="2" activeTab="6" xr2:uid="{00000000-000D-0000-FFFF-FFFF00000000}"/>
  </bookViews>
  <sheets>
    <sheet name="Presupuesto" sheetId="1" r:id="rId1"/>
    <sheet name="Mayo" sheetId="2" r:id="rId2"/>
    <sheet name="Junio" sheetId="3" r:id="rId3"/>
    <sheet name="Julio" sheetId="4" r:id="rId4"/>
    <sheet name="Agosto" sheetId="5" r:id="rId5"/>
    <sheet name="Setiembre" sheetId="6" r:id="rId6"/>
    <sheet name="Octubre" sheetId="7" r:id="rId7"/>
    <sheet name="Noviembre" sheetId="8" r:id="rId8"/>
    <sheet name="Diciemb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26" i="7" l="1"/>
  <c r="R27" i="7"/>
  <c r="AA27" i="7"/>
  <c r="R26" i="7"/>
  <c r="R25" i="7"/>
  <c r="T25" i="7"/>
  <c r="O33" i="7"/>
  <c r="R23" i="7"/>
  <c r="M22" i="7"/>
  <c r="R22" i="7"/>
  <c r="R19" i="7"/>
  <c r="O20" i="7"/>
  <c r="T18" i="7"/>
  <c r="S20" i="7"/>
  <c r="R18" i="7"/>
  <c r="R17" i="7"/>
  <c r="R15" i="7"/>
  <c r="R12" i="7" l="1"/>
  <c r="AA11" i="7"/>
  <c r="R11" i="7"/>
  <c r="S11" i="7"/>
  <c r="R9" i="7"/>
  <c r="R10" i="7" l="1"/>
  <c r="G10" i="7"/>
  <c r="B30" i="1"/>
  <c r="B33" i="7"/>
  <c r="B9" i="7"/>
  <c r="L10" i="7"/>
  <c r="H7" i="7" l="1"/>
  <c r="I7" i="7"/>
  <c r="R7" i="7"/>
  <c r="R5" i="7"/>
  <c r="R8" i="7"/>
  <c r="R4" i="7" l="1"/>
  <c r="O4" i="7"/>
  <c r="T4" i="7"/>
  <c r="R3" i="7" l="1"/>
  <c r="R2" i="7"/>
  <c r="R31" i="6" l="1"/>
  <c r="AA30" i="6" l="1"/>
  <c r="S30" i="6"/>
  <c r="R29" i="6" l="1"/>
  <c r="T26" i="6" l="1"/>
  <c r="R26" i="6"/>
  <c r="R25" i="6" l="1"/>
  <c r="R23" i="6" l="1"/>
  <c r="R20" i="6"/>
  <c r="M19" i="6" l="1"/>
  <c r="R19" i="6"/>
  <c r="S18" i="6"/>
  <c r="Q18" i="6"/>
  <c r="AA15" i="6" l="1"/>
  <c r="R15" i="6"/>
  <c r="O14" i="6" l="1"/>
  <c r="R14" i="6"/>
  <c r="R12" i="6"/>
  <c r="R11" i="6" l="1"/>
  <c r="R10" i="6" l="1"/>
  <c r="U9" i="6"/>
  <c r="L7" i="6" l="1"/>
  <c r="AA7" i="6"/>
  <c r="W7" i="6"/>
  <c r="R7" i="6"/>
  <c r="R6" i="6"/>
  <c r="R5" i="6"/>
  <c r="R4" i="6" l="1"/>
  <c r="I4" i="6" l="1"/>
  <c r="H4" i="6"/>
  <c r="R3" i="6"/>
  <c r="R2" i="6" l="1"/>
  <c r="O31" i="5" l="1"/>
  <c r="T31" i="5"/>
  <c r="Y32" i="5"/>
  <c r="AA28" i="5" l="1"/>
  <c r="R24" i="5" l="1"/>
  <c r="R27" i="5"/>
  <c r="O19" i="5" l="1"/>
  <c r="T21" i="5"/>
  <c r="R21" i="5"/>
  <c r="Y21" i="5"/>
  <c r="AA20" i="5"/>
  <c r="R20" i="5"/>
  <c r="S20" i="5"/>
  <c r="AA19" i="5"/>
  <c r="Y16" i="5" l="1"/>
  <c r="R16" i="5"/>
  <c r="R17" i="5"/>
  <c r="AA17" i="5"/>
  <c r="R15" i="5" l="1"/>
  <c r="R10" i="5" l="1"/>
  <c r="R9" i="5" l="1"/>
  <c r="T9" i="5"/>
  <c r="T10" i="5"/>
  <c r="O11" i="5"/>
  <c r="I7" i="5" l="1"/>
  <c r="H7" i="5"/>
  <c r="AA7" i="5"/>
  <c r="R7" i="5"/>
  <c r="L7" i="5"/>
  <c r="R6" i="5"/>
  <c r="AA5" i="5" l="1"/>
  <c r="R5" i="5"/>
  <c r="O4" i="5" l="1"/>
  <c r="X3" i="5"/>
  <c r="R3" i="5"/>
  <c r="R4" i="5"/>
  <c r="AC6" i="1" l="1"/>
  <c r="R25" i="3" l="1"/>
  <c r="AC22" i="3"/>
  <c r="R18" i="3"/>
  <c r="Y19" i="3"/>
  <c r="R17" i="3"/>
  <c r="AA32" i="3"/>
  <c r="R16" i="3"/>
  <c r="S16" i="3"/>
  <c r="Y14" i="3"/>
  <c r="Y32" i="3" s="1"/>
  <c r="Y26" i="1" s="1"/>
  <c r="R13" i="3"/>
  <c r="R15" i="3"/>
  <c r="AD15" i="3" s="1"/>
  <c r="AC15" i="3"/>
  <c r="AD13" i="3"/>
  <c r="AC12" i="3"/>
  <c r="AC32" i="3" s="1"/>
  <c r="R11" i="3"/>
  <c r="S11" i="3"/>
  <c r="S32" i="3" s="1"/>
  <c r="S26" i="1" s="1"/>
  <c r="AB10" i="3"/>
  <c r="R10" i="3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C32" i="9"/>
  <c r="AC31" i="9"/>
  <c r="AC30" i="9"/>
  <c r="AC29" i="9"/>
  <c r="AC28" i="9"/>
  <c r="AC27" i="9"/>
  <c r="AC26" i="9"/>
  <c r="AC25" i="9"/>
  <c r="AC24" i="9"/>
  <c r="AC23" i="9"/>
  <c r="AC22" i="9"/>
  <c r="AC21" i="9"/>
  <c r="AC20" i="9"/>
  <c r="AC19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6" i="9"/>
  <c r="AC5" i="9"/>
  <c r="AC4" i="9"/>
  <c r="AC3" i="9"/>
  <c r="AC2" i="9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6" i="8"/>
  <c r="AC5" i="8"/>
  <c r="AC4" i="8"/>
  <c r="AC3" i="8"/>
  <c r="AC2" i="8"/>
  <c r="AB33" i="7"/>
  <c r="AA33" i="7"/>
  <c r="AA19" i="1" s="1"/>
  <c r="Z33" i="7"/>
  <c r="Y33" i="7"/>
  <c r="Y19" i="1" s="1"/>
  <c r="X33" i="7"/>
  <c r="X19" i="1" s="1"/>
  <c r="W33" i="7"/>
  <c r="W19" i="1" s="1"/>
  <c r="V33" i="7"/>
  <c r="V19" i="1" s="1"/>
  <c r="U33" i="7"/>
  <c r="U30" i="1" s="1"/>
  <c r="T33" i="7"/>
  <c r="T19" i="1" s="1"/>
  <c r="S33" i="7"/>
  <c r="S19" i="1" s="1"/>
  <c r="R33" i="7"/>
  <c r="R19" i="1" s="1"/>
  <c r="Q33" i="7"/>
  <c r="Q19" i="1" s="1"/>
  <c r="P33" i="7"/>
  <c r="P19" i="1" s="1"/>
  <c r="N33" i="7"/>
  <c r="M33" i="7"/>
  <c r="L33" i="7"/>
  <c r="L30" i="1" s="1"/>
  <c r="K33" i="7"/>
  <c r="K30" i="1" s="1"/>
  <c r="J33" i="7"/>
  <c r="I33" i="7"/>
  <c r="H33" i="7"/>
  <c r="G33" i="7"/>
  <c r="F33" i="7"/>
  <c r="F19" i="1" s="1"/>
  <c r="E33" i="7"/>
  <c r="E30" i="1" s="1"/>
  <c r="D33" i="7"/>
  <c r="C33" i="7"/>
  <c r="C30" i="1" s="1"/>
  <c r="B19" i="1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C3" i="7"/>
  <c r="AC2" i="7"/>
  <c r="AB32" i="6"/>
  <c r="AA32" i="6"/>
  <c r="AA18" i="1" s="1"/>
  <c r="Z32" i="6"/>
  <c r="Y32" i="6"/>
  <c r="X32" i="6"/>
  <c r="X29" i="1" s="1"/>
  <c r="W32" i="6"/>
  <c r="W18" i="1" s="1"/>
  <c r="V32" i="6"/>
  <c r="U32" i="6"/>
  <c r="U29" i="1" s="1"/>
  <c r="T32" i="6"/>
  <c r="T29" i="1" s="1"/>
  <c r="S32" i="6"/>
  <c r="S29" i="1" s="1"/>
  <c r="R32" i="6"/>
  <c r="R18" i="1" s="1"/>
  <c r="Q32" i="6"/>
  <c r="Q18" i="1" s="1"/>
  <c r="P32" i="6"/>
  <c r="P29" i="1" s="1"/>
  <c r="O32" i="6"/>
  <c r="O29" i="1" s="1"/>
  <c r="N32" i="6"/>
  <c r="M32" i="6"/>
  <c r="M18" i="1" s="1"/>
  <c r="L32" i="6"/>
  <c r="K32" i="6"/>
  <c r="J32" i="6"/>
  <c r="I32" i="6"/>
  <c r="H32" i="6"/>
  <c r="G32" i="6"/>
  <c r="F32" i="6"/>
  <c r="F29" i="1" s="1"/>
  <c r="E32" i="6"/>
  <c r="E29" i="1" s="1"/>
  <c r="D32" i="6"/>
  <c r="D18" i="1" s="1"/>
  <c r="C32" i="6"/>
  <c r="B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AC4" i="6"/>
  <c r="AC3" i="6"/>
  <c r="AC2" i="6"/>
  <c r="AB33" i="5"/>
  <c r="AA33" i="5"/>
  <c r="AA28" i="1" s="1"/>
  <c r="Z33" i="5"/>
  <c r="Z28" i="1" s="1"/>
  <c r="Y33" i="5"/>
  <c r="Y28" i="1" s="1"/>
  <c r="X33" i="5"/>
  <c r="X17" i="1" s="1"/>
  <c r="W33" i="5"/>
  <c r="W28" i="1" s="1"/>
  <c r="V33" i="5"/>
  <c r="V28" i="1" s="1"/>
  <c r="U33" i="5"/>
  <c r="T33" i="5"/>
  <c r="T28" i="1" s="1"/>
  <c r="S33" i="5"/>
  <c r="S28" i="1" s="1"/>
  <c r="R33" i="5"/>
  <c r="R28" i="1" s="1"/>
  <c r="Q33" i="5"/>
  <c r="P33" i="5"/>
  <c r="P17" i="1" s="1"/>
  <c r="O33" i="5"/>
  <c r="O17" i="1" s="1"/>
  <c r="N33" i="5"/>
  <c r="N28" i="1" s="1"/>
  <c r="M33" i="5"/>
  <c r="L33" i="5"/>
  <c r="L28" i="1" s="1"/>
  <c r="K33" i="5"/>
  <c r="J33" i="5"/>
  <c r="I33" i="5"/>
  <c r="H33" i="5"/>
  <c r="G33" i="5"/>
  <c r="F33" i="5"/>
  <c r="F28" i="1" s="1"/>
  <c r="E33" i="5"/>
  <c r="E28" i="1" s="1"/>
  <c r="D33" i="5"/>
  <c r="D28" i="1" s="1"/>
  <c r="C33" i="5"/>
  <c r="C28" i="1" s="1"/>
  <c r="B33" i="5"/>
  <c r="B28" i="1" s="1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AB33" i="4"/>
  <c r="AA33" i="4"/>
  <c r="AA27" i="1" s="1"/>
  <c r="Z33" i="4"/>
  <c r="Z27" i="1" s="1"/>
  <c r="Y33" i="4"/>
  <c r="Y16" i="1" s="1"/>
  <c r="X33" i="4"/>
  <c r="X16" i="1" s="1"/>
  <c r="W33" i="4"/>
  <c r="W27" i="1" s="1"/>
  <c r="V33" i="4"/>
  <c r="V27" i="1" s="1"/>
  <c r="U33" i="4"/>
  <c r="U27" i="1" s="1"/>
  <c r="T33" i="4"/>
  <c r="T27" i="1" s="1"/>
  <c r="S33" i="4"/>
  <c r="S27" i="1" s="1"/>
  <c r="R33" i="4"/>
  <c r="R27" i="1" s="1"/>
  <c r="Q33" i="4"/>
  <c r="Q16" i="1" s="1"/>
  <c r="P33" i="4"/>
  <c r="P16" i="1" s="1"/>
  <c r="O33" i="4"/>
  <c r="O27" i="1" s="1"/>
  <c r="N33" i="4"/>
  <c r="N27" i="1" s="1"/>
  <c r="M33" i="4"/>
  <c r="M27" i="1" s="1"/>
  <c r="L33" i="4"/>
  <c r="L27" i="1" s="1"/>
  <c r="K33" i="4"/>
  <c r="K27" i="1" s="1"/>
  <c r="J33" i="4"/>
  <c r="J27" i="1" s="1"/>
  <c r="I33" i="4"/>
  <c r="I16" i="1" s="1"/>
  <c r="H33" i="4"/>
  <c r="H16" i="1" s="1"/>
  <c r="G33" i="4"/>
  <c r="G27" i="1" s="1"/>
  <c r="F33" i="4"/>
  <c r="F27" i="1" s="1"/>
  <c r="E33" i="4"/>
  <c r="E27" i="1" s="1"/>
  <c r="D33" i="4"/>
  <c r="C33" i="4"/>
  <c r="B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3" i="4"/>
  <c r="AC2" i="4"/>
  <c r="Z32" i="3"/>
  <c r="X32" i="3"/>
  <c r="X15" i="1" s="1"/>
  <c r="W32" i="3"/>
  <c r="V32" i="3"/>
  <c r="U32" i="3"/>
  <c r="U26" i="1" s="1"/>
  <c r="T32" i="3"/>
  <c r="T15" i="1" s="1"/>
  <c r="Q32" i="3"/>
  <c r="P32" i="3"/>
  <c r="O32" i="3"/>
  <c r="O26" i="1" s="1"/>
  <c r="N32" i="3"/>
  <c r="N15" i="1" s="1"/>
  <c r="M32" i="3"/>
  <c r="M26" i="1" s="1"/>
  <c r="J32" i="3"/>
  <c r="J26" i="1" s="1"/>
  <c r="G32" i="3"/>
  <c r="F32" i="3"/>
  <c r="F26" i="1" s="1"/>
  <c r="E32" i="3"/>
  <c r="D32" i="3"/>
  <c r="D26" i="1" s="1"/>
  <c r="C32" i="3"/>
  <c r="C26" i="1" s="1"/>
  <c r="B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4" i="3"/>
  <c r="AD12" i="3"/>
  <c r="L10" i="3"/>
  <c r="K9" i="3"/>
  <c r="AD9" i="3" s="1"/>
  <c r="R8" i="3"/>
  <c r="AD8" i="3" s="1"/>
  <c r="AD7" i="3"/>
  <c r="AB6" i="3"/>
  <c r="R6" i="3"/>
  <c r="AB5" i="3"/>
  <c r="R5" i="3"/>
  <c r="R4" i="3"/>
  <c r="AD4" i="3" s="1"/>
  <c r="R3" i="3"/>
  <c r="I3" i="3"/>
  <c r="I32" i="3" s="1"/>
  <c r="H3" i="3"/>
  <c r="H32" i="3" s="1"/>
  <c r="AB2" i="3"/>
  <c r="R2" i="3"/>
  <c r="AB33" i="2"/>
  <c r="Z33" i="2"/>
  <c r="X33" i="2"/>
  <c r="V33" i="2"/>
  <c r="T33" i="2"/>
  <c r="S33" i="2"/>
  <c r="P33" i="2"/>
  <c r="N33" i="2"/>
  <c r="M33" i="2"/>
  <c r="L33" i="2"/>
  <c r="K33" i="2"/>
  <c r="J33" i="2"/>
  <c r="I33" i="2"/>
  <c r="G33" i="2"/>
  <c r="F33" i="2"/>
  <c r="E33" i="2"/>
  <c r="D33" i="2"/>
  <c r="C33" i="2"/>
  <c r="B33" i="2"/>
  <c r="AC32" i="2"/>
  <c r="AC31" i="2"/>
  <c r="R30" i="2"/>
  <c r="AC30" i="2" s="1"/>
  <c r="R29" i="2"/>
  <c r="AC29" i="2" s="1"/>
  <c r="R28" i="2"/>
  <c r="AC28" i="2" s="1"/>
  <c r="Y27" i="2"/>
  <c r="Y33" i="2" s="1"/>
  <c r="R27" i="2"/>
  <c r="AC27" i="2" s="1"/>
  <c r="AC26" i="2"/>
  <c r="R26" i="2"/>
  <c r="AA25" i="2"/>
  <c r="W25" i="2"/>
  <c r="W33" i="2" s="1"/>
  <c r="R25" i="2"/>
  <c r="AC25" i="2" s="1"/>
  <c r="AC24" i="2"/>
  <c r="R23" i="2"/>
  <c r="AC23" i="2" s="1"/>
  <c r="R22" i="2"/>
  <c r="AC22" i="2" s="1"/>
  <c r="R21" i="2"/>
  <c r="AC21" i="2" s="1"/>
  <c r="AA20" i="2"/>
  <c r="R20" i="2"/>
  <c r="AC20" i="2" s="1"/>
  <c r="R19" i="2"/>
  <c r="AC19" i="2" s="1"/>
  <c r="AC18" i="2"/>
  <c r="R17" i="2"/>
  <c r="AC17" i="2" s="1"/>
  <c r="R16" i="2"/>
  <c r="AC16" i="2" s="1"/>
  <c r="AC15" i="2"/>
  <c r="U14" i="2"/>
  <c r="Q14" i="2"/>
  <c r="Q33" i="2" s="1"/>
  <c r="W13" i="2"/>
  <c r="U13" i="2"/>
  <c r="U33" i="2" s="1"/>
  <c r="R13" i="2"/>
  <c r="AC13" i="2" s="1"/>
  <c r="R12" i="2"/>
  <c r="AC12" i="2" s="1"/>
  <c r="T11" i="2"/>
  <c r="R11" i="2"/>
  <c r="AC11" i="2" s="1"/>
  <c r="T10" i="2"/>
  <c r="AC10" i="2" s="1"/>
  <c r="AA9" i="2"/>
  <c r="R9" i="2"/>
  <c r="O9" i="2"/>
  <c r="O33" i="2" s="1"/>
  <c r="X8" i="2"/>
  <c r="R8" i="2"/>
  <c r="AC8" i="2" s="1"/>
  <c r="L7" i="2"/>
  <c r="I7" i="2"/>
  <c r="H7" i="2"/>
  <c r="H33" i="2" s="1"/>
  <c r="AC6" i="2"/>
  <c r="AC5" i="2"/>
  <c r="AC4" i="2"/>
  <c r="AC3" i="2"/>
  <c r="AC2" i="2"/>
  <c r="C53" i="1"/>
  <c r="L38" i="1"/>
  <c r="C54" i="1" s="1"/>
  <c r="Y30" i="1"/>
  <c r="X30" i="1"/>
  <c r="W30" i="1"/>
  <c r="V30" i="1"/>
  <c r="Q30" i="1"/>
  <c r="Z17" i="1"/>
  <c r="E17" i="1"/>
  <c r="C17" i="1"/>
  <c r="B17" i="1"/>
  <c r="AA16" i="1"/>
  <c r="Z16" i="1"/>
  <c r="W16" i="1"/>
  <c r="U16" i="1"/>
  <c r="T16" i="1"/>
  <c r="S16" i="1"/>
  <c r="R16" i="1"/>
  <c r="O16" i="1"/>
  <c r="M16" i="1"/>
  <c r="L16" i="1"/>
  <c r="K16" i="1"/>
  <c r="J16" i="1"/>
  <c r="G16" i="1"/>
  <c r="E16" i="1"/>
  <c r="AD10" i="1"/>
  <c r="AF10" i="1" s="1"/>
  <c r="AC10" i="1"/>
  <c r="AD9" i="1"/>
  <c r="AF9" i="1" s="1"/>
  <c r="AC9" i="1"/>
  <c r="AI9" i="1" s="1"/>
  <c r="AD8" i="1"/>
  <c r="AF8" i="1" s="1"/>
  <c r="AC8" i="1"/>
  <c r="AD7" i="1"/>
  <c r="AF7" i="1" s="1"/>
  <c r="AC7" i="1"/>
  <c r="AD6" i="1"/>
  <c r="AF6" i="1" s="1"/>
  <c r="AD5" i="1"/>
  <c r="AF5" i="1" s="1"/>
  <c r="K5" i="1"/>
  <c r="AC5" i="1" s="1"/>
  <c r="AI5" i="1" s="1"/>
  <c r="AD4" i="1"/>
  <c r="AF4" i="1" s="1"/>
  <c r="Z4" i="1"/>
  <c r="AC4" i="1" s="1"/>
  <c r="AI4" i="1" s="1"/>
  <c r="AD3" i="1"/>
  <c r="AF3" i="1" s="1"/>
  <c r="AC3" i="1"/>
  <c r="AI3" i="1" s="1"/>
  <c r="O19" i="1" l="1"/>
  <c r="O30" i="1"/>
  <c r="Z19" i="1"/>
  <c r="Z30" i="1"/>
  <c r="Z33" i="1" s="1"/>
  <c r="AC33" i="9"/>
  <c r="AC32" i="8"/>
  <c r="AA33" i="2"/>
  <c r="R33" i="2"/>
  <c r="Z15" i="1"/>
  <c r="Z26" i="1"/>
  <c r="AA32" i="1"/>
  <c r="AA21" i="1"/>
  <c r="Z32" i="1"/>
  <c r="Z21" i="1"/>
  <c r="Y32" i="1"/>
  <c r="Y21" i="1"/>
  <c r="X32" i="1"/>
  <c r="X21" i="1"/>
  <c r="W21" i="1"/>
  <c r="W32" i="1"/>
  <c r="V32" i="1"/>
  <c r="V21" i="1"/>
  <c r="U21" i="1"/>
  <c r="U32" i="1"/>
  <c r="T32" i="1"/>
  <c r="T21" i="1"/>
  <c r="S32" i="1"/>
  <c r="S21" i="1"/>
  <c r="R21" i="1"/>
  <c r="R32" i="1"/>
  <c r="Q32" i="1"/>
  <c r="Q21" i="1"/>
  <c r="P21" i="1"/>
  <c r="P32" i="1"/>
  <c r="O32" i="1"/>
  <c r="O21" i="1"/>
  <c r="N32" i="1"/>
  <c r="N21" i="1"/>
  <c r="M21" i="1"/>
  <c r="M32" i="1"/>
  <c r="L32" i="1"/>
  <c r="L21" i="1"/>
  <c r="K32" i="1"/>
  <c r="K21" i="1"/>
  <c r="J21" i="1"/>
  <c r="J32" i="1"/>
  <c r="I21" i="1"/>
  <c r="I32" i="1"/>
  <c r="H21" i="1"/>
  <c r="H32" i="1"/>
  <c r="G21" i="1"/>
  <c r="G32" i="1"/>
  <c r="F32" i="1"/>
  <c r="F21" i="1"/>
  <c r="E32" i="1"/>
  <c r="E21" i="1"/>
  <c r="D32" i="1"/>
  <c r="D21" i="1"/>
  <c r="C32" i="1"/>
  <c r="C21" i="1"/>
  <c r="B32" i="1"/>
  <c r="B21" i="1"/>
  <c r="AA31" i="1"/>
  <c r="AA20" i="1"/>
  <c r="Z31" i="1"/>
  <c r="Z20" i="1"/>
  <c r="Y31" i="1"/>
  <c r="Y20" i="1"/>
  <c r="X31" i="1"/>
  <c r="X20" i="1"/>
  <c r="W31" i="1"/>
  <c r="W20" i="1"/>
  <c r="V31" i="1"/>
  <c r="V20" i="1"/>
  <c r="U31" i="1"/>
  <c r="U20" i="1"/>
  <c r="T20" i="1"/>
  <c r="T31" i="1"/>
  <c r="S31" i="1"/>
  <c r="S20" i="1"/>
  <c r="R31" i="1"/>
  <c r="R20" i="1"/>
  <c r="Q31" i="1"/>
  <c r="Q20" i="1"/>
  <c r="P31" i="1"/>
  <c r="P20" i="1"/>
  <c r="O20" i="1"/>
  <c r="O31" i="1"/>
  <c r="N31" i="1"/>
  <c r="N20" i="1"/>
  <c r="M31" i="1"/>
  <c r="M20" i="1"/>
  <c r="L31" i="1"/>
  <c r="L20" i="1"/>
  <c r="K31" i="1"/>
  <c r="K20" i="1"/>
  <c r="J20" i="1"/>
  <c r="J31" i="1"/>
  <c r="I20" i="1"/>
  <c r="I31" i="1"/>
  <c r="H31" i="1"/>
  <c r="H20" i="1"/>
  <c r="G31" i="1"/>
  <c r="G20" i="1"/>
  <c r="F20" i="1"/>
  <c r="F31" i="1"/>
  <c r="E31" i="1"/>
  <c r="E20" i="1"/>
  <c r="D20" i="1"/>
  <c r="D31" i="1"/>
  <c r="C20" i="1"/>
  <c r="C31" i="1"/>
  <c r="B31" i="1"/>
  <c r="B20" i="1"/>
  <c r="N30" i="1"/>
  <c r="N19" i="1"/>
  <c r="M30" i="1"/>
  <c r="M19" i="1"/>
  <c r="J30" i="1"/>
  <c r="J19" i="1"/>
  <c r="I30" i="1"/>
  <c r="I19" i="1"/>
  <c r="H30" i="1"/>
  <c r="H19" i="1"/>
  <c r="G19" i="1"/>
  <c r="G30" i="1"/>
  <c r="D30" i="1"/>
  <c r="D19" i="1"/>
  <c r="Z29" i="1"/>
  <c r="Z18" i="1"/>
  <c r="Y18" i="1"/>
  <c r="Y29" i="1"/>
  <c r="V18" i="1"/>
  <c r="V29" i="1"/>
  <c r="N18" i="1"/>
  <c r="N29" i="1"/>
  <c r="L29" i="1"/>
  <c r="L18" i="1"/>
  <c r="K18" i="1"/>
  <c r="K29" i="1"/>
  <c r="J29" i="1"/>
  <c r="J18" i="1"/>
  <c r="I18" i="1"/>
  <c r="I29" i="1"/>
  <c r="H29" i="1"/>
  <c r="H18" i="1"/>
  <c r="G29" i="1"/>
  <c r="G18" i="1"/>
  <c r="C29" i="1"/>
  <c r="C18" i="1"/>
  <c r="B29" i="1"/>
  <c r="B18" i="1"/>
  <c r="U28" i="1"/>
  <c r="U17" i="1"/>
  <c r="Q28" i="1"/>
  <c r="Q17" i="1"/>
  <c r="M28" i="1"/>
  <c r="M17" i="1"/>
  <c r="K28" i="1"/>
  <c r="K17" i="1"/>
  <c r="J28" i="1"/>
  <c r="J17" i="1"/>
  <c r="I28" i="1"/>
  <c r="I17" i="1"/>
  <c r="H17" i="1"/>
  <c r="H28" i="1"/>
  <c r="G28" i="1"/>
  <c r="G17" i="1"/>
  <c r="D16" i="1"/>
  <c r="D27" i="1"/>
  <c r="C16" i="1"/>
  <c r="C27" i="1"/>
  <c r="B27" i="1"/>
  <c r="B16" i="1"/>
  <c r="W15" i="1"/>
  <c r="W26" i="1"/>
  <c r="V26" i="1"/>
  <c r="V15" i="1"/>
  <c r="Q26" i="1"/>
  <c r="Q15" i="1"/>
  <c r="P26" i="1"/>
  <c r="P15" i="1"/>
  <c r="G15" i="1"/>
  <c r="G26" i="1"/>
  <c r="E26" i="1"/>
  <c r="E15" i="1"/>
  <c r="B26" i="1"/>
  <c r="B15" i="1"/>
  <c r="Z25" i="1"/>
  <c r="Z14" i="1"/>
  <c r="X25" i="1"/>
  <c r="X14" i="1"/>
  <c r="V25" i="1"/>
  <c r="V14" i="1"/>
  <c r="T25" i="1"/>
  <c r="T14" i="1"/>
  <c r="S25" i="1"/>
  <c r="S14" i="1"/>
  <c r="P14" i="1"/>
  <c r="P25" i="1"/>
  <c r="N25" i="1"/>
  <c r="N14" i="1"/>
  <c r="M25" i="1"/>
  <c r="M14" i="1"/>
  <c r="L25" i="1"/>
  <c r="L14" i="1"/>
  <c r="K25" i="1"/>
  <c r="K14" i="1"/>
  <c r="J25" i="1"/>
  <c r="J14" i="1"/>
  <c r="I25" i="1"/>
  <c r="I14" i="1"/>
  <c r="G25" i="1"/>
  <c r="G14" i="1"/>
  <c r="F25" i="1"/>
  <c r="F14" i="1"/>
  <c r="E25" i="1"/>
  <c r="E14" i="1"/>
  <c r="D25" i="1"/>
  <c r="D14" i="1"/>
  <c r="C25" i="1"/>
  <c r="C14" i="1"/>
  <c r="B14" i="1"/>
  <c r="B25" i="1"/>
  <c r="W14" i="1"/>
  <c r="W25" i="1"/>
  <c r="U19" i="1"/>
  <c r="E19" i="1"/>
  <c r="C19" i="1"/>
  <c r="P30" i="1"/>
  <c r="S30" i="1"/>
  <c r="AA30" i="1"/>
  <c r="L19" i="1"/>
  <c r="K19" i="1"/>
  <c r="T30" i="1"/>
  <c r="R30" i="1"/>
  <c r="AC33" i="7"/>
  <c r="F30" i="1"/>
  <c r="F33" i="1" s="1"/>
  <c r="T18" i="1"/>
  <c r="O18" i="1"/>
  <c r="S18" i="1"/>
  <c r="M29" i="1"/>
  <c r="Q29" i="1"/>
  <c r="X18" i="1"/>
  <c r="D29" i="1"/>
  <c r="U18" i="1"/>
  <c r="W29" i="1"/>
  <c r="W33" i="1" s="1"/>
  <c r="AA29" i="1"/>
  <c r="P18" i="1"/>
  <c r="E18" i="1"/>
  <c r="F18" i="1"/>
  <c r="AC32" i="6"/>
  <c r="R29" i="1"/>
  <c r="Y17" i="1"/>
  <c r="W17" i="1"/>
  <c r="S17" i="1"/>
  <c r="P28" i="1"/>
  <c r="D17" i="1"/>
  <c r="O28" i="1"/>
  <c r="AC28" i="1" s="1"/>
  <c r="T17" i="1"/>
  <c r="AA17" i="1"/>
  <c r="L17" i="1"/>
  <c r="X28" i="1"/>
  <c r="R17" i="1"/>
  <c r="AC33" i="5"/>
  <c r="F17" i="1"/>
  <c r="N17" i="1"/>
  <c r="V17" i="1"/>
  <c r="AC27" i="1"/>
  <c r="V33" i="1"/>
  <c r="X27" i="1"/>
  <c r="I27" i="1"/>
  <c r="Q27" i="1"/>
  <c r="Y27" i="1"/>
  <c r="H27" i="1"/>
  <c r="AC33" i="4"/>
  <c r="P27" i="1"/>
  <c r="P33" i="1" s="1"/>
  <c r="F16" i="1"/>
  <c r="N16" i="1"/>
  <c r="V16" i="1"/>
  <c r="AC32" i="1"/>
  <c r="AC31" i="1"/>
  <c r="F15" i="1"/>
  <c r="O15" i="1"/>
  <c r="AD6" i="3"/>
  <c r="AD11" i="3"/>
  <c r="I26" i="1"/>
  <c r="I15" i="1"/>
  <c r="M15" i="1"/>
  <c r="AD2" i="3"/>
  <c r="U15" i="1"/>
  <c r="T26" i="1"/>
  <c r="N33" i="1"/>
  <c r="AD10" i="3"/>
  <c r="E33" i="1"/>
  <c r="AB32" i="3"/>
  <c r="AA15" i="1" s="1"/>
  <c r="N26" i="1"/>
  <c r="AD5" i="3"/>
  <c r="C15" i="1"/>
  <c r="S15" i="1"/>
  <c r="C33" i="1"/>
  <c r="I33" i="1"/>
  <c r="S33" i="1"/>
  <c r="Y15" i="1"/>
  <c r="X26" i="1"/>
  <c r="X33" i="1" s="1"/>
  <c r="R32" i="3"/>
  <c r="R26" i="1" s="1"/>
  <c r="M33" i="1"/>
  <c r="AH9" i="1"/>
  <c r="AJ9" i="1" s="1"/>
  <c r="G33" i="1"/>
  <c r="D15" i="1"/>
  <c r="D33" i="1"/>
  <c r="J15" i="1"/>
  <c r="J33" i="1"/>
  <c r="AH10" i="1"/>
  <c r="AI10" i="1"/>
  <c r="Q14" i="1"/>
  <c r="Q25" i="1"/>
  <c r="Q33" i="1" s="1"/>
  <c r="AI6" i="1"/>
  <c r="AH6" i="1"/>
  <c r="H26" i="1"/>
  <c r="H15" i="1"/>
  <c r="AA14" i="1"/>
  <c r="AA25" i="1"/>
  <c r="O14" i="1"/>
  <c r="O25" i="1"/>
  <c r="AH8" i="1"/>
  <c r="AI8" i="1"/>
  <c r="AI7" i="1"/>
  <c r="AH7" i="1"/>
  <c r="H25" i="1"/>
  <c r="H14" i="1"/>
  <c r="Y25" i="1"/>
  <c r="Y33" i="1" s="1"/>
  <c r="Y14" i="1"/>
  <c r="U25" i="1"/>
  <c r="U33" i="1" s="1"/>
  <c r="U14" i="1"/>
  <c r="AH3" i="1"/>
  <c r="AJ3" i="1" s="1"/>
  <c r="K32" i="3"/>
  <c r="AH5" i="1"/>
  <c r="AJ5" i="1" s="1"/>
  <c r="L32" i="3"/>
  <c r="B33" i="1"/>
  <c r="AC9" i="2"/>
  <c r="AD3" i="3"/>
  <c r="AC14" i="2"/>
  <c r="AH4" i="1"/>
  <c r="AJ4" i="1" s="1"/>
  <c r="M38" i="1"/>
  <c r="N38" i="1"/>
  <c r="AC7" i="2"/>
  <c r="AC33" i="2" s="1"/>
  <c r="L39" i="1"/>
  <c r="T33" i="1" l="1"/>
  <c r="R25" i="1"/>
  <c r="R14" i="1"/>
  <c r="AC30" i="1"/>
  <c r="AC29" i="1"/>
  <c r="O33" i="1"/>
  <c r="AJ6" i="1"/>
  <c r="AA26" i="1"/>
  <c r="AA33" i="1" s="1"/>
  <c r="AD32" i="3"/>
  <c r="H33" i="1"/>
  <c r="R15" i="1"/>
  <c r="AJ7" i="1"/>
  <c r="L26" i="1"/>
  <c r="L33" i="1" s="1"/>
  <c r="L15" i="1"/>
  <c r="K15" i="1"/>
  <c r="K26" i="1"/>
  <c r="AJ8" i="1"/>
  <c r="AJ10" i="1"/>
  <c r="R33" i="1" l="1"/>
  <c r="AC25" i="1"/>
  <c r="K33" i="1"/>
  <c r="AC26" i="1"/>
  <c r="AC33" i="1" l="1"/>
</calcChain>
</file>

<file path=xl/sharedStrings.xml><?xml version="1.0" encoding="utf-8"?>
<sst xmlns="http://schemas.openxmlformats.org/spreadsheetml/2006/main" count="418" uniqueCount="95">
  <si>
    <t>Presupuesto</t>
  </si>
  <si>
    <t>Mes</t>
  </si>
  <si>
    <t>Seguro</t>
  </si>
  <si>
    <t>Patente</t>
  </si>
  <si>
    <t>Contenedores</t>
  </si>
  <si>
    <t>Jardin</t>
  </si>
  <si>
    <t>Niñera</t>
  </si>
  <si>
    <t>SIET</t>
  </si>
  <si>
    <t>Internet</t>
  </si>
  <si>
    <t>Luz</t>
  </si>
  <si>
    <t>Gastos terreno</t>
  </si>
  <si>
    <t>Tarjeta CDE</t>
  </si>
  <si>
    <t>Tarjeta ITAU</t>
  </si>
  <si>
    <t>Tarjeta recompensa</t>
  </si>
  <si>
    <t>Amandaye</t>
  </si>
  <si>
    <t>Nafta y peaje</t>
  </si>
  <si>
    <t>Corte pasto</t>
  </si>
  <si>
    <t>Perros</t>
  </si>
  <si>
    <t>Comida</t>
  </si>
  <si>
    <t>Limpieza</t>
  </si>
  <si>
    <t>paseo</t>
  </si>
  <si>
    <t>Servicio camioneta</t>
  </si>
  <si>
    <t>Ablandador</t>
  </si>
  <si>
    <t>Jardineria</t>
  </si>
  <si>
    <t>Banco y seguros</t>
  </si>
  <si>
    <t>Regalos</t>
  </si>
  <si>
    <t>Gas y calefacción</t>
  </si>
  <si>
    <t>Extra</t>
  </si>
  <si>
    <t>Cumple Roci</t>
  </si>
  <si>
    <t>suma gastos</t>
  </si>
  <si>
    <t>C/U</t>
  </si>
  <si>
    <t xml:space="preserve">Fondo </t>
  </si>
  <si>
    <t>Ahorro</t>
  </si>
  <si>
    <t>Sueldo</t>
  </si>
  <si>
    <t>Deposita Sofi</t>
  </si>
  <si>
    <t>Deposita Nico</t>
  </si>
  <si>
    <t>Banco compartido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</si>
  <si>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</si>
  <si>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</si>
  <si>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</si>
  <si>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</si>
  <si>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</si>
  <si>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</si>
  <si>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</si>
  <si>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</si>
  <si>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Real</t>
  </si>
  <si>
    <t>Camioneta</t>
  </si>
  <si>
    <t>Banco y seguro</t>
  </si>
  <si>
    <t>Diferencia</t>
  </si>
  <si>
    <t>Total desvío mes</t>
  </si>
  <si>
    <t>Total desvío</t>
  </si>
  <si>
    <t>Fondo</t>
  </si>
  <si>
    <t>Objetivo</t>
  </si>
  <si>
    <t>Total</t>
  </si>
  <si>
    <t>Sofi</t>
  </si>
  <si>
    <t>Nico</t>
  </si>
  <si>
    <t>% completado</t>
  </si>
  <si>
    <t>Gastos del fondo</t>
  </si>
  <si>
    <t>Fecha</t>
  </si>
  <si>
    <t>Descripción</t>
  </si>
  <si>
    <t>Monto</t>
  </si>
  <si>
    <t>Total gastos</t>
  </si>
  <si>
    <t>Saldo neto</t>
  </si>
  <si>
    <t>Gas y calefaccion</t>
  </si>
  <si>
    <t>Observaciones</t>
  </si>
  <si>
    <t>Uniforme Roci</t>
  </si>
  <si>
    <t>Botas Roci</t>
  </si>
  <si>
    <t>2 cubiertas chery</t>
  </si>
  <si>
    <t>retiro cajero</t>
  </si>
  <si>
    <t>China City</t>
  </si>
  <si>
    <t>Pantalones Roci</t>
  </si>
  <si>
    <t>Suscripciones</t>
  </si>
  <si>
    <t>Biogrip</t>
  </si>
  <si>
    <t>Vidrio, silicona, pistola silicona</t>
  </si>
  <si>
    <t>luz spot</t>
  </si>
  <si>
    <t>caravanas</t>
  </si>
  <si>
    <t>materiales almohadones</t>
  </si>
  <si>
    <t>seña salon</t>
  </si>
  <si>
    <t>tortera y mac fiestas</t>
  </si>
  <si>
    <t xml:space="preserve">Almohadones </t>
  </si>
  <si>
    <t>luces spot</t>
  </si>
  <si>
    <t>comepa</t>
  </si>
  <si>
    <t>resistencia calefon</t>
  </si>
  <si>
    <t>Cena Berni</t>
  </si>
  <si>
    <t>3 comepa</t>
  </si>
  <si>
    <t>envio zartenes</t>
  </si>
  <si>
    <t>regalo lolo</t>
  </si>
  <si>
    <t>farmacia</t>
  </si>
  <si>
    <t>disfraces roci</t>
  </si>
  <si>
    <t>circo</t>
  </si>
  <si>
    <t>gas y calefacción</t>
  </si>
  <si>
    <t>Arreglo porton y luz</t>
  </si>
  <si>
    <t>llave</t>
  </si>
  <si>
    <t>libros roci y auriculares</t>
  </si>
  <si>
    <t>luces y sellador baño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</si>
</sst>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Cambria"/>
      <family val="1"/>
      <charset val="1"/>
    </font>
    <font>
      <b/>
      <sz val="11"/>
      <color rgb="FFAD1457"/>
      <name val="Cambria"/>
      <family val="1"/>
      <charset val="1"/>
    </font>
    <font>
      <b/>
      <sz val="11"/>
      <color rgb="FF1565C0"/>
      <name val="Cambria"/>
      <family val="1"/>
      <charset val="1"/>
    </font>
    <font>
      <b/>
      <sz val="11"/>
      <color rgb="FF2E7D32"/>
      <name val="Cambria"/>
      <family val="1"/>
      <charset val="1"/>
    </font>
    <font>
      <b/>
      <sz val="12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1"/>
      <color rgb="FF0284C7"/>
      <name val="Cambria"/>
      <family val="1"/>
      <charset val="1"/>
    </font>
    <font>
      <i/>
      <sz val="11"/>
      <color rgb="FF555555"/>
      <name val="Cambria"/>
      <family val="1"/>
      <charset val="1"/>
    </font>
    <font>
      <b/>
      <sz val="11"/>
      <color rgb="FFC62828"/>
      <name val="Cambria"/>
      <family val="1"/>
      <charset val="1"/>
    </font>
    <font>
      <b/>
      <sz val="11"/>
      <color rgb="FF1B5E20"/>
      <name val="Cambria"/>
      <family val="1"/>
      <charset val="1"/>
    </font>
    <font>
      <b/>
      <sz val="11"/>
      <name val="Cambria"/>
      <family val="1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rgb="FF9DC3E6"/>
      </patternFill>
    </fill>
    <fill>
      <patternFill patternType="solid">
        <fgColor rgb="FFEC4899"/>
        <bgColor rgb="FFC62828"/>
      </patternFill>
    </fill>
    <fill>
      <patternFill patternType="solid">
        <fgColor rgb="FFFCE4EC"/>
        <bgColor rgb="FFE8F5E9"/>
      </patternFill>
    </fill>
    <fill>
      <patternFill patternType="solid">
        <fgColor rgb="FFE3F2FD"/>
        <bgColor rgb="FFE0F2FE"/>
      </patternFill>
    </fill>
    <fill>
      <patternFill patternType="solid">
        <fgColor rgb="FFE8F5E9"/>
        <bgColor rgb="FFE3F2FD"/>
      </patternFill>
    </fill>
    <fill>
      <patternFill patternType="solid">
        <fgColor theme="9" tint="0.39979247413556324"/>
        <bgColor rgb="FFBFBFBF"/>
      </patternFill>
    </fill>
    <fill>
      <patternFill patternType="solid">
        <fgColor theme="4" tint="0.39979247413556324"/>
        <bgColor rgb="FFBFBFBF"/>
      </patternFill>
    </fill>
    <fill>
      <patternFill patternType="solid">
        <fgColor rgb="FFD9E1F2"/>
        <bgColor rgb="FFE0F2FE"/>
      </patternFill>
    </fill>
    <fill>
      <patternFill patternType="solid">
        <fgColor rgb="FF2E7D32"/>
        <bgColor rgb="FF388E3C"/>
      </patternFill>
    </fill>
    <fill>
      <patternFill patternType="solid">
        <fgColor rgb="FFFFFFFF"/>
        <bgColor rgb="FFE8F5E9"/>
      </patternFill>
    </fill>
    <fill>
      <patternFill patternType="solid">
        <fgColor rgb="FFE0F2FE"/>
        <bgColor rgb="FFE3F2FD"/>
      </patternFill>
    </fill>
    <fill>
      <patternFill patternType="solid">
        <fgColor rgb="FFC8E6C9"/>
        <bgColor rgb="FFC6EFCE"/>
      </patternFill>
    </fill>
    <fill>
      <patternFill patternType="solid">
        <fgColor rgb="FF388E3C"/>
        <bgColor rgb="FF2E7D32"/>
      </patternFill>
    </fill>
    <fill>
      <patternFill patternType="solid">
        <fgColor rgb="FF4472C4"/>
        <bgColor rgb="FF1565C0"/>
      </patternFill>
    </fill>
    <fill>
      <patternFill patternType="solid">
        <fgColor theme="6"/>
        <bgColor rgb="FFBFBFBF"/>
      </patternFill>
    </fill>
    <fill>
      <patternFill patternType="solid">
        <fgColor theme="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6" fillId="6" borderId="0" xfId="0" applyFont="1" applyFill="1"/>
    <xf numFmtId="0" fontId="7" fillId="10" borderId="1" xfId="0" applyFont="1" applyFill="1" applyBorder="1" applyAlignment="1">
      <alignment horizontal="center" wrapText="1"/>
    </xf>
    <xf numFmtId="0" fontId="2" fillId="6" borderId="1" xfId="0" applyFont="1" applyFill="1" applyBorder="1"/>
    <xf numFmtId="3" fontId="2" fillId="6" borderId="1" xfId="0" applyNumberFormat="1" applyFont="1" applyFill="1" applyBorder="1"/>
    <xf numFmtId="3" fontId="0" fillId="11" borderId="1" xfId="0" applyNumberFormat="1" applyFill="1" applyBorder="1" applyAlignment="1">
      <alignment horizontal="center"/>
    </xf>
    <xf numFmtId="3" fontId="5" fillId="6" borderId="1" xfId="0" applyNumberFormat="1" applyFont="1" applyFill="1" applyBorder="1"/>
    <xf numFmtId="3" fontId="8" fillId="12" borderId="1" xfId="0" applyNumberFormat="1" applyFont="1" applyFill="1" applyBorder="1"/>
    <xf numFmtId="0" fontId="9" fillId="0" borderId="0" xfId="0" applyFont="1"/>
    <xf numFmtId="164" fontId="2" fillId="6" borderId="1" xfId="0" applyNumberFormat="1" applyFont="1" applyFill="1" applyBorder="1"/>
    <xf numFmtId="0" fontId="2" fillId="13" borderId="0" xfId="0" applyFont="1" applyFill="1"/>
    <xf numFmtId="0" fontId="7" fillId="14" borderId="1" xfId="0" applyFont="1" applyFill="1" applyBorder="1" applyAlignment="1">
      <alignment horizontal="center"/>
    </xf>
    <xf numFmtId="165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3" fontId="0" fillId="11" borderId="1" xfId="0" applyNumberFormat="1" applyFill="1" applyBorder="1" applyAlignment="1">
      <alignment horizontal="right"/>
    </xf>
    <xf numFmtId="0" fontId="2" fillId="13" borderId="1" xfId="0" applyFont="1" applyFill="1" applyBorder="1"/>
    <xf numFmtId="0" fontId="0" fillId="13" borderId="1" xfId="0" applyFill="1" applyBorder="1"/>
    <xf numFmtId="3" fontId="10" fillId="13" borderId="1" xfId="0" applyNumberFormat="1" applyFont="1" applyFill="1" applyBorder="1"/>
    <xf numFmtId="0" fontId="0" fillId="6" borderId="1" xfId="0" applyFill="1" applyBorder="1"/>
    <xf numFmtId="3" fontId="11" fillId="6" borderId="1" xfId="0" applyNumberFormat="1" applyFont="1" applyFill="1" applyBorder="1"/>
    <xf numFmtId="0" fontId="7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16" borderId="1" xfId="0" applyFill="1" applyBorder="1"/>
    <xf numFmtId="0" fontId="12" fillId="9" borderId="1" xfId="0" applyFont="1" applyFill="1" applyBorder="1"/>
    <xf numFmtId="0" fontId="0" fillId="9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E7D32"/>
      <rgbColor rgb="FF000080"/>
      <rgbColor rgb="FF808000"/>
      <rgbColor rgb="FF800080"/>
      <rgbColor rgb="FF0284C7"/>
      <rgbColor rgb="FFBFBFBF"/>
      <rgbColor rgb="FF808080"/>
      <rgbColor rgb="FF5B9BD5"/>
      <rgbColor rgb="FFAD1457"/>
      <rgbColor rgb="FFE8F5E9"/>
      <rgbColor rgb="FFE0F2FE"/>
      <rgbColor rgb="FF660066"/>
      <rgbColor rgb="FFEC4899"/>
      <rgbColor rgb="FF1565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6EFCE"/>
      <rgbColor rgb="FFFFEB9C"/>
      <rgbColor rgb="FF9DC3E6"/>
      <rgbColor rgb="FFFCE4EC"/>
      <rgbColor rgb="FFC8E6C9"/>
      <rgbColor rgb="FFFFC7CE"/>
      <rgbColor rgb="FF4472C4"/>
      <rgbColor rgb="FF33CCCC"/>
      <rgbColor rgb="FFA9D18E"/>
      <rgbColor rgb="FFFFCC00"/>
      <rgbColor rgb="FFFF9900"/>
      <rgbColor rgb="FFFF6600"/>
      <rgbColor rgb="FF555555"/>
      <rgbColor rgb="FFA5A5A5"/>
      <rgbColor rgb="FF003366"/>
      <rgbColor rgb="FF388E3C"/>
      <rgbColor rgb="FF003300"/>
      <rgbColor rgb="FF276221"/>
      <rgbColor rgb="FF9C5700"/>
      <rgbColor rgb="FFC62828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topLeftCell="K9" zoomScaleNormal="100" workbookViewId="0">
      <selection activeCell="P18" sqref="P18"/>
    </sheetView>
  </sheetViews>
  <sheetFormatPr baseColWidth="10" defaultColWidth="9.109375" defaultRowHeight="14.4" x14ac:dyDescent="0.3"/>
  <cols>
    <col min="1" max="1" width="14.44140625" style="1" customWidth="1"/>
    <col min="2" max="2" width="13.33203125" style="1" customWidth="1"/>
    <col min="3" max="3" width="8" style="1" customWidth="1"/>
    <col min="4" max="4" width="13.5546875" style="1" customWidth="1"/>
    <col min="5" max="5" width="9.88671875" style="1" customWidth="1"/>
    <col min="6" max="6" width="9.109375" style="1"/>
    <col min="7" max="7" width="12" style="1" customWidth="1"/>
    <col min="8" max="8" width="9.109375" style="1"/>
    <col min="9" max="11" width="14" style="1" customWidth="1"/>
    <col min="12" max="12" width="13.44140625" style="1" customWidth="1"/>
    <col min="13" max="13" width="18.5546875" style="1" customWidth="1"/>
    <col min="14" max="14" width="10.44140625" style="1" customWidth="1"/>
    <col min="15" max="15" width="12.6640625" style="1" customWidth="1"/>
    <col min="16" max="16" width="11.109375" style="1" customWidth="1"/>
    <col min="17" max="20" width="9.109375" style="1"/>
    <col min="21" max="21" width="17.88671875" style="1" customWidth="1"/>
    <col min="22" max="22" width="10.5546875" style="1" customWidth="1"/>
    <col min="23" max="23" width="9.6640625" style="1" customWidth="1"/>
    <col min="24" max="24" width="15" style="1" customWidth="1"/>
    <col min="25" max="25" width="9.109375" style="1"/>
    <col min="26" max="26" width="15.88671875" style="1" customWidth="1"/>
    <col min="27" max="27" width="9.109375" style="1"/>
    <col min="28" max="28" width="13" style="1" customWidth="1"/>
    <col min="29" max="16384" width="9.109375" style="1"/>
  </cols>
  <sheetData>
    <row r="1" spans="1:36" ht="1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36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2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3" t="s">
        <v>34</v>
      </c>
      <c r="AI2" s="4" t="s">
        <v>35</v>
      </c>
      <c r="AJ2" s="5" t="s">
        <v>36</v>
      </c>
    </row>
    <row r="3" spans="1:36" ht="15" customHeight="1" x14ac:dyDescent="0.3">
      <c r="A3" s="1" t="s">
        <v>37</v>
      </c>
      <c r="D3" s="1">
        <v>15500</v>
      </c>
      <c r="E3" s="1">
        <v>10600</v>
      </c>
      <c r="F3" s="1">
        <v>26100</v>
      </c>
      <c r="G3" s="1">
        <v>1000</v>
      </c>
      <c r="H3" s="1">
        <v>3500</v>
      </c>
      <c r="I3" s="1">
        <v>3000</v>
      </c>
      <c r="J3" s="1">
        <v>1000</v>
      </c>
      <c r="K3" s="1">
        <v>0</v>
      </c>
      <c r="L3" s="1">
        <v>18100</v>
      </c>
      <c r="M3" s="1">
        <v>22200</v>
      </c>
      <c r="N3" s="1">
        <v>850</v>
      </c>
      <c r="O3" s="1">
        <v>10000</v>
      </c>
      <c r="P3" s="1">
        <v>1800</v>
      </c>
      <c r="Q3" s="1">
        <v>2500</v>
      </c>
      <c r="R3" s="1">
        <v>20000</v>
      </c>
      <c r="S3" s="1">
        <v>2500</v>
      </c>
      <c r="T3" s="1">
        <v>5000</v>
      </c>
      <c r="U3" s="1">
        <v>15000</v>
      </c>
      <c r="W3" s="1">
        <v>3000</v>
      </c>
      <c r="X3" s="1">
        <v>1500</v>
      </c>
      <c r="Y3" s="1">
        <v>2000</v>
      </c>
      <c r="Z3" s="1">
        <v>500</v>
      </c>
      <c r="AA3" s="1">
        <v>5000</v>
      </c>
      <c r="AB3" s="6"/>
      <c r="AC3" s="1">
        <f t="shared" ref="AC3:AC10" si="0">SUM(B3:AB3)</f>
        <v>170650</v>
      </c>
      <c r="AD3" s="7">
        <f t="shared" ref="AD3:AD10" si="1">+AB3/2</f>
        <v>0</v>
      </c>
      <c r="AE3" s="1">
        <v>10000</v>
      </c>
      <c r="AF3" s="7">
        <f t="shared" ref="AF3:AF10" si="2">AG3-AD3-AE3</f>
        <v>85000</v>
      </c>
      <c r="AG3" s="1">
        <v>95000</v>
      </c>
      <c r="AH3" s="8">
        <f t="shared" ref="AH3:AH10" si="3">AC3/2-M3</f>
        <v>63125</v>
      </c>
      <c r="AI3" s="9">
        <f t="shared" ref="AI3:AI10" si="4">AC3/2-D3</f>
        <v>69825</v>
      </c>
      <c r="AJ3" s="10">
        <f t="shared" ref="AJ3:AJ10" si="5">AH3+AI3</f>
        <v>132950</v>
      </c>
    </row>
    <row r="4" spans="1:36" ht="15" customHeight="1" x14ac:dyDescent="0.3">
      <c r="A4" s="1" t="s">
        <v>38</v>
      </c>
      <c r="D4" s="1">
        <v>15550</v>
      </c>
      <c r="E4" s="1">
        <v>10600</v>
      </c>
      <c r="F4" s="1">
        <v>35500</v>
      </c>
      <c r="G4" s="1">
        <v>1000</v>
      </c>
      <c r="H4" s="1">
        <v>3500</v>
      </c>
      <c r="I4" s="1">
        <v>3000</v>
      </c>
      <c r="J4" s="1">
        <v>1000</v>
      </c>
      <c r="K4" s="1">
        <v>1300</v>
      </c>
      <c r="L4" s="1">
        <v>10000</v>
      </c>
      <c r="M4" s="1">
        <v>8000</v>
      </c>
      <c r="N4" s="1">
        <v>850</v>
      </c>
      <c r="O4" s="1">
        <v>11000</v>
      </c>
      <c r="P4" s="1">
        <v>1800</v>
      </c>
      <c r="Q4" s="1">
        <v>2500</v>
      </c>
      <c r="R4" s="1">
        <v>20000</v>
      </c>
      <c r="S4" s="1">
        <v>2500</v>
      </c>
      <c r="T4" s="1">
        <v>5000</v>
      </c>
      <c r="W4" s="1">
        <v>3000</v>
      </c>
      <c r="X4" s="1">
        <v>1500</v>
      </c>
      <c r="Y4" s="1">
        <v>2000</v>
      </c>
      <c r="Z4" s="1">
        <f>1350+2500</f>
        <v>3850</v>
      </c>
      <c r="AA4" s="1">
        <v>5000</v>
      </c>
      <c r="AB4" s="6">
        <v>18000</v>
      </c>
      <c r="AC4" s="1">
        <f t="shared" si="0"/>
        <v>166450</v>
      </c>
      <c r="AD4" s="7">
        <f t="shared" si="1"/>
        <v>9000</v>
      </c>
      <c r="AE4" s="1">
        <v>10000</v>
      </c>
      <c r="AF4" s="7">
        <f t="shared" si="2"/>
        <v>76000</v>
      </c>
      <c r="AG4" s="1">
        <v>95000</v>
      </c>
      <c r="AH4" s="8">
        <f t="shared" si="3"/>
        <v>75225</v>
      </c>
      <c r="AI4" s="9">
        <f t="shared" si="4"/>
        <v>67675</v>
      </c>
      <c r="AJ4" s="10">
        <f>AH4+AI4</f>
        <v>142900</v>
      </c>
    </row>
    <row r="5" spans="1:36" ht="15" customHeight="1" x14ac:dyDescent="0.3">
      <c r="A5" s="1" t="s">
        <v>39</v>
      </c>
      <c r="C5" s="1">
        <v>4369</v>
      </c>
      <c r="D5" s="1">
        <v>15600</v>
      </c>
      <c r="E5" s="1">
        <v>0</v>
      </c>
      <c r="F5" s="1">
        <v>26100</v>
      </c>
      <c r="G5" s="1">
        <v>1000</v>
      </c>
      <c r="H5" s="1">
        <v>3500</v>
      </c>
      <c r="I5" s="1">
        <v>3000</v>
      </c>
      <c r="J5" s="1">
        <v>1000</v>
      </c>
      <c r="K5" s="1">
        <f t="shared" ref="K5" si="6">1300+9800+6600</f>
        <v>17700</v>
      </c>
      <c r="L5" s="1">
        <v>7500</v>
      </c>
      <c r="M5" s="1">
        <v>7500</v>
      </c>
      <c r="N5" s="1">
        <v>850</v>
      </c>
      <c r="O5" s="1">
        <v>4400</v>
      </c>
      <c r="P5" s="1">
        <v>1800</v>
      </c>
      <c r="Q5" s="1">
        <v>2500</v>
      </c>
      <c r="R5" s="1">
        <v>20000</v>
      </c>
      <c r="S5" s="1">
        <v>2500</v>
      </c>
      <c r="T5" s="1">
        <v>5000</v>
      </c>
      <c r="V5" s="1">
        <v>1500</v>
      </c>
      <c r="W5" s="1">
        <v>3000</v>
      </c>
      <c r="X5" s="1">
        <v>1500</v>
      </c>
      <c r="Y5" s="1">
        <v>2000</v>
      </c>
      <c r="AA5" s="1">
        <v>5000</v>
      </c>
      <c r="AB5" s="6"/>
      <c r="AC5" s="1">
        <f t="shared" si="0"/>
        <v>137319</v>
      </c>
      <c r="AD5" s="7">
        <f t="shared" si="1"/>
        <v>0</v>
      </c>
      <c r="AE5" s="1">
        <v>10000</v>
      </c>
      <c r="AF5" s="7">
        <f t="shared" si="2"/>
        <v>85000</v>
      </c>
      <c r="AG5" s="1">
        <v>95000</v>
      </c>
      <c r="AH5" s="8">
        <f t="shared" si="3"/>
        <v>61159.5</v>
      </c>
      <c r="AI5" s="9">
        <f t="shared" si="4"/>
        <v>53059.5</v>
      </c>
      <c r="AJ5" s="10">
        <f t="shared" si="5"/>
        <v>114219</v>
      </c>
    </row>
    <row r="6" spans="1:36" ht="15" customHeight="1" x14ac:dyDescent="0.3">
      <c r="A6" s="1" t="s">
        <v>40</v>
      </c>
      <c r="D6" s="1">
        <v>15691</v>
      </c>
      <c r="E6" s="1">
        <v>0</v>
      </c>
      <c r="F6" s="1">
        <v>28611</v>
      </c>
      <c r="G6" s="1">
        <v>1185</v>
      </c>
      <c r="H6" s="1">
        <v>3291.56</v>
      </c>
      <c r="I6" s="1">
        <v>3335.41</v>
      </c>
      <c r="J6" s="1">
        <v>700</v>
      </c>
      <c r="K6" s="1">
        <v>18000</v>
      </c>
      <c r="L6" s="1">
        <v>14000</v>
      </c>
      <c r="M6" s="1">
        <v>19000</v>
      </c>
      <c r="N6" s="1">
        <v>810</v>
      </c>
      <c r="O6" s="1">
        <v>8000</v>
      </c>
      <c r="P6" s="1">
        <v>1800</v>
      </c>
      <c r="Q6" s="1">
        <v>0</v>
      </c>
      <c r="R6" s="1">
        <v>20000</v>
      </c>
      <c r="S6" s="1">
        <v>2500</v>
      </c>
      <c r="T6" s="1">
        <v>5000</v>
      </c>
      <c r="X6" s="1">
        <v>1500</v>
      </c>
      <c r="Y6" s="1">
        <v>4000</v>
      </c>
      <c r="AA6" s="1">
        <v>5000</v>
      </c>
      <c r="AB6" s="6"/>
      <c r="AC6" s="1">
        <f>SUM(B6:AB6)</f>
        <v>152423.97</v>
      </c>
      <c r="AD6" s="7">
        <f t="shared" si="1"/>
        <v>0</v>
      </c>
      <c r="AE6" s="1">
        <v>10000</v>
      </c>
      <c r="AF6" s="7">
        <f t="shared" si="2"/>
        <v>85000</v>
      </c>
      <c r="AG6" s="1">
        <v>95000</v>
      </c>
      <c r="AH6" s="8">
        <f t="shared" si="3"/>
        <v>57211.985000000001</v>
      </c>
      <c r="AI6" s="9">
        <f t="shared" si="4"/>
        <v>60520.985000000001</v>
      </c>
      <c r="AJ6" s="10">
        <f t="shared" si="5"/>
        <v>117732.97</v>
      </c>
    </row>
    <row r="7" spans="1:36" ht="15" customHeight="1" x14ac:dyDescent="0.3">
      <c r="A7" s="1" t="s">
        <v>41</v>
      </c>
      <c r="C7" s="1">
        <v>4369</v>
      </c>
      <c r="D7" s="1">
        <v>15706.32</v>
      </c>
      <c r="E7" s="1">
        <v>500</v>
      </c>
      <c r="F7" s="1">
        <v>27500</v>
      </c>
      <c r="H7" s="1">
        <v>3300</v>
      </c>
      <c r="I7" s="1">
        <v>3750</v>
      </c>
      <c r="J7" s="1">
        <v>1000</v>
      </c>
      <c r="K7" s="1">
        <v>23200</v>
      </c>
      <c r="L7" s="1">
        <v>7505</v>
      </c>
      <c r="M7" s="1">
        <v>23000</v>
      </c>
      <c r="N7" s="1">
        <v>810</v>
      </c>
      <c r="O7" s="1">
        <v>8000</v>
      </c>
      <c r="P7" s="1">
        <v>1800</v>
      </c>
      <c r="Q7" s="1">
        <v>2500</v>
      </c>
      <c r="R7" s="1">
        <v>19000</v>
      </c>
      <c r="S7" s="1">
        <v>2000</v>
      </c>
      <c r="T7" s="1">
        <v>5000</v>
      </c>
      <c r="U7" s="1">
        <v>13115</v>
      </c>
      <c r="V7" s="1">
        <v>1500</v>
      </c>
      <c r="W7" s="1">
        <v>3000</v>
      </c>
      <c r="X7" s="1">
        <v>800</v>
      </c>
      <c r="Y7" s="1">
        <v>2000</v>
      </c>
      <c r="AA7" s="1">
        <v>5000</v>
      </c>
      <c r="AB7" s="6"/>
      <c r="AC7" s="1">
        <f t="shared" si="0"/>
        <v>174355.32</v>
      </c>
      <c r="AD7" s="7">
        <f t="shared" si="1"/>
        <v>0</v>
      </c>
      <c r="AE7" s="1">
        <v>10000</v>
      </c>
      <c r="AF7" s="7">
        <f t="shared" si="2"/>
        <v>85000</v>
      </c>
      <c r="AG7" s="1">
        <v>95000</v>
      </c>
      <c r="AH7" s="8">
        <f t="shared" si="3"/>
        <v>64177.66</v>
      </c>
      <c r="AI7" s="9">
        <f t="shared" si="4"/>
        <v>71471.34</v>
      </c>
      <c r="AJ7" s="10">
        <f t="shared" si="5"/>
        <v>135649</v>
      </c>
    </row>
    <row r="8" spans="1:36" ht="15" customHeight="1" x14ac:dyDescent="0.3">
      <c r="A8" s="1" t="s">
        <v>42</v>
      </c>
      <c r="B8" s="1">
        <v>27138.14</v>
      </c>
      <c r="D8" s="1">
        <v>15750</v>
      </c>
      <c r="E8" s="1">
        <v>0</v>
      </c>
      <c r="F8" s="1">
        <v>27500</v>
      </c>
      <c r="G8" s="1">
        <v>1100</v>
      </c>
      <c r="H8" s="1">
        <v>3300</v>
      </c>
      <c r="I8" s="1">
        <v>3000</v>
      </c>
      <c r="J8" s="1">
        <v>700</v>
      </c>
      <c r="K8" s="1">
        <v>26738</v>
      </c>
      <c r="L8" s="1">
        <v>18000</v>
      </c>
      <c r="M8" s="1">
        <v>16700</v>
      </c>
      <c r="N8" s="1">
        <v>810</v>
      </c>
      <c r="O8" s="1">
        <v>4400</v>
      </c>
      <c r="P8" s="1">
        <v>3600</v>
      </c>
      <c r="Q8" s="1">
        <v>2500</v>
      </c>
      <c r="R8" s="1">
        <v>20000</v>
      </c>
      <c r="S8" s="1">
        <v>2000</v>
      </c>
      <c r="T8" s="1">
        <v>5000</v>
      </c>
      <c r="W8" s="1">
        <v>3000</v>
      </c>
      <c r="X8" s="1">
        <v>800</v>
      </c>
      <c r="Y8" s="1">
        <v>2000</v>
      </c>
      <c r="AA8" s="1">
        <v>5000</v>
      </c>
      <c r="AB8" s="6"/>
      <c r="AC8" s="1">
        <f>SUM(B8:AB8)</f>
        <v>189036.14</v>
      </c>
      <c r="AD8" s="7">
        <f t="shared" si="1"/>
        <v>0</v>
      </c>
      <c r="AE8" s="1">
        <v>10000</v>
      </c>
      <c r="AF8" s="7">
        <f t="shared" si="2"/>
        <v>85000</v>
      </c>
      <c r="AG8" s="1">
        <v>95000</v>
      </c>
      <c r="AH8" s="8">
        <f t="shared" si="3"/>
        <v>77818.070000000007</v>
      </c>
      <c r="AI8" s="9">
        <f t="shared" si="4"/>
        <v>78768.070000000007</v>
      </c>
      <c r="AJ8" s="10">
        <f t="shared" si="5"/>
        <v>156586.14000000001</v>
      </c>
    </row>
    <row r="9" spans="1:36" ht="15" customHeight="1" x14ac:dyDescent="0.3">
      <c r="A9" s="1" t="s">
        <v>43</v>
      </c>
      <c r="C9" s="1">
        <v>4369</v>
      </c>
      <c r="D9" s="1">
        <v>15800</v>
      </c>
      <c r="E9" s="1">
        <v>0</v>
      </c>
      <c r="F9" s="1">
        <v>27500</v>
      </c>
      <c r="G9" s="1">
        <v>1100</v>
      </c>
      <c r="H9" s="1">
        <v>3300</v>
      </c>
      <c r="I9" s="1">
        <v>3000</v>
      </c>
      <c r="J9" s="1">
        <v>700</v>
      </c>
      <c r="K9" s="1">
        <v>18000</v>
      </c>
      <c r="L9" s="1">
        <v>10000</v>
      </c>
      <c r="M9" s="1">
        <v>7500</v>
      </c>
      <c r="N9" s="1">
        <v>810</v>
      </c>
      <c r="O9" s="1">
        <v>4400</v>
      </c>
      <c r="P9" s="1">
        <v>3600</v>
      </c>
      <c r="Q9" s="1">
        <v>2500</v>
      </c>
      <c r="R9" s="1">
        <v>20000</v>
      </c>
      <c r="S9" s="1">
        <v>2000</v>
      </c>
      <c r="T9" s="1">
        <v>5000</v>
      </c>
      <c r="W9" s="1">
        <v>3000</v>
      </c>
      <c r="X9" s="1">
        <v>800</v>
      </c>
      <c r="Y9" s="1">
        <v>2000</v>
      </c>
      <c r="AA9" s="1">
        <v>5000</v>
      </c>
      <c r="AB9" s="6"/>
      <c r="AC9" s="1">
        <f t="shared" si="0"/>
        <v>140379</v>
      </c>
      <c r="AD9" s="7">
        <f t="shared" si="1"/>
        <v>0</v>
      </c>
      <c r="AE9" s="1">
        <v>10000</v>
      </c>
      <c r="AF9" s="7">
        <f t="shared" si="2"/>
        <v>85000</v>
      </c>
      <c r="AG9" s="1">
        <v>95000</v>
      </c>
      <c r="AH9" s="8">
        <f t="shared" si="3"/>
        <v>62689.5</v>
      </c>
      <c r="AI9" s="9">
        <f t="shared" si="4"/>
        <v>54389.5</v>
      </c>
      <c r="AJ9" s="10">
        <f t="shared" si="5"/>
        <v>117079</v>
      </c>
    </row>
    <row r="10" spans="1:36" ht="15" customHeight="1" x14ac:dyDescent="0.3">
      <c r="A10" s="1" t="s">
        <v>44</v>
      </c>
      <c r="D10" s="1">
        <v>15800</v>
      </c>
      <c r="E10" s="1">
        <v>0</v>
      </c>
      <c r="F10" s="1">
        <v>45000</v>
      </c>
      <c r="G10" s="1">
        <v>1100</v>
      </c>
      <c r="H10" s="1">
        <v>3300</v>
      </c>
      <c r="I10" s="1">
        <v>3000</v>
      </c>
      <c r="J10" s="1">
        <v>700</v>
      </c>
      <c r="K10" s="1">
        <v>18000</v>
      </c>
      <c r="L10" s="1">
        <v>10000</v>
      </c>
      <c r="M10" s="1">
        <v>7500</v>
      </c>
      <c r="N10" s="1">
        <v>810</v>
      </c>
      <c r="O10" s="1">
        <v>4400</v>
      </c>
      <c r="P10" s="1">
        <v>3600</v>
      </c>
      <c r="Q10" s="1">
        <v>2500</v>
      </c>
      <c r="R10" s="1">
        <v>20000</v>
      </c>
      <c r="S10" s="1">
        <v>2000</v>
      </c>
      <c r="T10" s="1">
        <v>5000</v>
      </c>
      <c r="W10" s="1">
        <v>3000</v>
      </c>
      <c r="X10" s="1">
        <v>800</v>
      </c>
      <c r="Y10" s="1">
        <v>2000</v>
      </c>
      <c r="AA10" s="1">
        <v>5000</v>
      </c>
      <c r="AB10" s="6"/>
      <c r="AC10" s="1">
        <f t="shared" si="0"/>
        <v>153510</v>
      </c>
      <c r="AD10" s="7">
        <f t="shared" si="1"/>
        <v>0</v>
      </c>
      <c r="AE10" s="1">
        <v>10000</v>
      </c>
      <c r="AF10" s="7">
        <f t="shared" si="2"/>
        <v>85000</v>
      </c>
      <c r="AG10" s="1">
        <v>95000</v>
      </c>
      <c r="AH10" s="8">
        <f t="shared" si="3"/>
        <v>69255</v>
      </c>
      <c r="AI10" s="9">
        <f t="shared" si="4"/>
        <v>60955</v>
      </c>
      <c r="AJ10" s="10">
        <f t="shared" si="5"/>
        <v>130210</v>
      </c>
    </row>
    <row r="12" spans="1:36" ht="15" customHeight="1" x14ac:dyDescent="0.3">
      <c r="A12" s="45" t="s">
        <v>45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spans="1:36" ht="15" customHeight="1" x14ac:dyDescent="0.3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  <c r="Q13" s="1" t="s">
        <v>17</v>
      </c>
      <c r="R13" s="1" t="s">
        <v>18</v>
      </c>
      <c r="S13" s="1" t="s">
        <v>19</v>
      </c>
      <c r="T13" s="1" t="s">
        <v>20</v>
      </c>
      <c r="U13" s="1" t="s">
        <v>46</v>
      </c>
      <c r="V13" s="1" t="s">
        <v>22</v>
      </c>
      <c r="W13" s="1" t="s">
        <v>23</v>
      </c>
      <c r="X13" s="1" t="s">
        <v>47</v>
      </c>
      <c r="Y13" s="1" t="s">
        <v>25</v>
      </c>
      <c r="Z13" s="1" t="s">
        <v>26</v>
      </c>
      <c r="AA13" s="1" t="s">
        <v>27</v>
      </c>
    </row>
    <row r="14" spans="1:36" ht="15" customHeight="1" x14ac:dyDescent="0.3">
      <c r="A14" s="1" t="s">
        <v>37</v>
      </c>
      <c r="B14" s="1" t="str">
        <f>IF(Mayo!B33&gt;0,Mayo!B33,"")</f>
        <v/>
      </c>
      <c r="C14" s="1" t="str">
        <f>IF(Mayo!C33&gt;0,Mayo!C33,"")</f>
        <v/>
      </c>
      <c r="D14" s="1">
        <f>IF(Mayo!D33&gt;0,Mayo!D33,"")</f>
        <v>15452.77</v>
      </c>
      <c r="E14" s="1">
        <f>IF(Mayo!E33&gt;0,Mayo!E33,"")</f>
        <v>10570</v>
      </c>
      <c r="F14" s="1">
        <f>IF(Mayo!F33&gt;0,Mayo!F33,"")</f>
        <v>26054</v>
      </c>
      <c r="G14" s="1">
        <f>IF(Mayo!G33&gt;0,Mayo!G33,"")</f>
        <v>980</v>
      </c>
      <c r="H14" s="1">
        <f>IF(Mayo!H33&gt;0,Mayo!H33,"")</f>
        <v>3291.56</v>
      </c>
      <c r="I14" s="1">
        <f>IF(Mayo!I33&gt;0,Mayo!I33,"")</f>
        <v>2144.2600000000002</v>
      </c>
      <c r="J14" s="1">
        <f>IF(Mayo!J33&gt;0,Mayo!J33,"")</f>
        <v>700</v>
      </c>
      <c r="K14" s="1" t="str">
        <f>IF(Mayo!K33&gt;0,Mayo!K33,"")</f>
        <v/>
      </c>
      <c r="L14" s="1">
        <f>IF(Mayo!L33&gt;0,Mayo!L33,"")</f>
        <v>18082.010000000002</v>
      </c>
      <c r="M14" s="1">
        <f>IF(Mayo!M33&gt;0,Mayo!M33,"")</f>
        <v>22127.68</v>
      </c>
      <c r="N14" s="1">
        <f>IF(Mayo!N33&gt;0,Mayo!N33,"")</f>
        <v>810</v>
      </c>
      <c r="O14" s="1">
        <f>IF(Mayo!O33&gt;0,Mayo!O33,"")</f>
        <v>8780.76</v>
      </c>
      <c r="P14" s="1" t="str">
        <f>IF(Mayo!P33&gt;0,Mayo!P33,"")</f>
        <v/>
      </c>
      <c r="Q14" s="1">
        <f>IF(Mayo!Q33&gt;0,Mayo!Q33,"")</f>
        <v>2449.1799999999998</v>
      </c>
      <c r="R14" s="1">
        <f>IF(Mayo!R33&gt;0,Mayo!R33,"")</f>
        <v>19619.210000000003</v>
      </c>
      <c r="S14" s="1">
        <f>IF(Mayo!S33&gt;0,Mayo!S33,"")</f>
        <v>811</v>
      </c>
      <c r="T14" s="1">
        <f>IF(Mayo!T33&gt;0,Mayo!T33,"")</f>
        <v>3261.5</v>
      </c>
      <c r="U14" s="1">
        <f>IF(Mayo!U33&gt;0,Mayo!U33,"")</f>
        <v>14385.25</v>
      </c>
      <c r="V14" s="1" t="str">
        <f>IF(Mayo!V33&gt;0,Mayo!V33,"")</f>
        <v/>
      </c>
      <c r="W14" s="1">
        <f>IF(Mayo!W33&gt;0,Mayo!W33,"")</f>
        <v>1268.8600000000001</v>
      </c>
      <c r="X14" s="1">
        <f>IF(Mayo!X33&gt;0,Mayo!X33,"")</f>
        <v>709.08999999999992</v>
      </c>
      <c r="Y14" s="1">
        <f>IF(Mayo!Y33&gt;0,Mayo!Y33,"")</f>
        <v>1780.33</v>
      </c>
      <c r="Z14" s="1">
        <f>IF(Mayo!Z33&gt;0,Mayo!Z33,"")</f>
        <v>500</v>
      </c>
      <c r="AA14" s="1">
        <f>IF(Mayo!AA33&gt;0,Mayo!AA33,"")</f>
        <v>4705.57</v>
      </c>
    </row>
    <row r="15" spans="1:36" ht="15" customHeight="1" x14ac:dyDescent="0.3">
      <c r="A15" s="1" t="s">
        <v>38</v>
      </c>
      <c r="B15" s="1" t="str">
        <f>IF(Junio!B32&gt;0,Junio!B32,"")</f>
        <v/>
      </c>
      <c r="C15" s="1" t="str">
        <f>IF(Junio!C32&gt;0,Junio!C32,"")</f>
        <v/>
      </c>
      <c r="D15" s="1">
        <f>IF(Junio!D32&gt;0,Junio!D32,"")</f>
        <v>15540.52</v>
      </c>
      <c r="E15" s="1">
        <f>IF(Junio!E32&gt;0,Junio!E32,"")</f>
        <v>10990.82</v>
      </c>
      <c r="F15" s="1">
        <f>IF(Junio!F32&gt;0,Junio!F32,"")</f>
        <v>37432</v>
      </c>
      <c r="G15" s="1">
        <f>IF(Junio!G32&gt;0,Junio!G32,"")</f>
        <v>1015</v>
      </c>
      <c r="H15" s="1">
        <f>IF(Junio!H32&gt;0,Junio!H32,"")</f>
        <v>3291.56</v>
      </c>
      <c r="I15" s="1">
        <f>IF(Junio!I32&gt;0,Junio!I32,"")</f>
        <v>2841.65</v>
      </c>
      <c r="J15" s="1">
        <f>IF(Junio!J32&gt;0,Junio!J32,"")</f>
        <v>1000</v>
      </c>
      <c r="K15" s="1">
        <f>IF(Junio!K32&gt;0,Junio!K32,"")</f>
        <v>1286.19</v>
      </c>
      <c r="L15" s="1">
        <f>IF(Junio!L32&gt;0,Junio!L32,"")</f>
        <v>9690.8900000000012</v>
      </c>
      <c r="M15" s="1">
        <f>IF(Junio!M32&gt;0,Junio!M32,"")</f>
        <v>21668.69</v>
      </c>
      <c r="N15" s="1">
        <f>IF(Junio!N32&gt;0,Junio!N32,"")</f>
        <v>810</v>
      </c>
      <c r="O15" s="1">
        <f>IF(Junio!O32&gt;0,Junio!O32,"")</f>
        <v>804.4</v>
      </c>
      <c r="P15" s="1">
        <f>IF(Junio!P32&gt;0,Junio!P32,"")</f>
        <v>1800</v>
      </c>
      <c r="Q15" s="1" t="str">
        <f>IF(Junio!Q32&gt;0,Junio!Q32,"")</f>
        <v/>
      </c>
      <c r="R15" s="1">
        <f>IF(Junio!R32&gt;0,Junio!R32,"")</f>
        <v>19626.129999999997</v>
      </c>
      <c r="S15" s="1">
        <f>IF(Junio!S32&gt;0,Junio!S32,"")</f>
        <v>2295.1999999999998</v>
      </c>
      <c r="T15" s="1" t="str">
        <f>IF(Junio!T32&gt;0,Junio!T32,"")</f>
        <v/>
      </c>
      <c r="U15" s="1" t="str">
        <f>IF(Junio!U32&gt;0,Junio!U32,"")</f>
        <v/>
      </c>
      <c r="V15" s="1" t="str">
        <f>IF(Junio!V32&gt;0,Junio!V32,"")</f>
        <v/>
      </c>
      <c r="W15" s="1" t="str">
        <f>IF(Junio!W32&gt;0,Junio!W32,"")</f>
        <v/>
      </c>
      <c r="X15" s="1">
        <f>IF(Junio!X32&gt;0,Junio!X32,"")</f>
        <v>215</v>
      </c>
      <c r="Y15" s="1">
        <f>IF(Junio!Y32&gt;0,Junio!Y32,"")</f>
        <v>2432.9499999999998</v>
      </c>
      <c r="Z15" s="1">
        <f>IF(Junio!AA32&gt;0,Junio!AA32,"")</f>
        <v>5500</v>
      </c>
      <c r="AA15" s="1">
        <f>IF(Junio!AB32&gt;0,Junio!AB32,"")</f>
        <v>21845.239999999998</v>
      </c>
    </row>
    <row r="16" spans="1:36" ht="15" customHeight="1" x14ac:dyDescent="0.3">
      <c r="A16" s="1" t="s">
        <v>39</v>
      </c>
      <c r="B16" s="1" t="str">
        <f>IF(Julio!B33&gt;0,Julio!B33,"")</f>
        <v/>
      </c>
      <c r="C16" s="1">
        <f>IF(Julio!C33&gt;0,Julio!C33,"")</f>
        <v>4369</v>
      </c>
      <c r="D16" s="1">
        <f>IF(Julio!D33&gt;0,Julio!D33,"")</f>
        <v>15600</v>
      </c>
      <c r="E16" s="1" t="str">
        <f>IF(Julio!E33&gt;0,Julio!E33,"")</f>
        <v/>
      </c>
      <c r="F16" s="1">
        <f>IF(Julio!F33&gt;0,Julio!F33,"")</f>
        <v>26100</v>
      </c>
      <c r="G16" s="1">
        <f>IF(Julio!G33&gt;0,Julio!G33,"")</f>
        <v>1000</v>
      </c>
      <c r="H16" s="1">
        <f>IF(Julio!H33&gt;0,Julio!H33,"")</f>
        <v>3500</v>
      </c>
      <c r="I16" s="1">
        <f>IF(Julio!I33&gt;0,Julio!I33,"")</f>
        <v>3000</v>
      </c>
      <c r="J16" s="1">
        <f>IF(Julio!J33&gt;0,Julio!J33,"")</f>
        <v>1000</v>
      </c>
      <c r="K16" s="1">
        <f>IF(Julio!K33&gt;0,Julio!K33,"")</f>
        <v>17700</v>
      </c>
      <c r="L16" s="1">
        <f>IF(Julio!L33&gt;0,Julio!L33,"")</f>
        <v>7500</v>
      </c>
      <c r="M16" s="1">
        <f>IF(Julio!M33&gt;0,Julio!M33,"")</f>
        <v>7500</v>
      </c>
      <c r="N16" s="1">
        <f>IF(Julio!N33&gt;0,Julio!N33,"")</f>
        <v>850</v>
      </c>
      <c r="O16" s="1">
        <f>IF(Julio!O33&gt;0,Julio!O33,"")</f>
        <v>4400</v>
      </c>
      <c r="P16" s="1">
        <f>IF(Julio!P33&gt;0,Julio!P33,"")</f>
        <v>1800</v>
      </c>
      <c r="Q16" s="1">
        <f>IF(Julio!Q33&gt;0,Julio!Q33,"")</f>
        <v>2500</v>
      </c>
      <c r="R16" s="1">
        <f>IF(Julio!R33&gt;0,Julio!R33,"")</f>
        <v>20000</v>
      </c>
      <c r="S16" s="1">
        <f>IF(Julio!S33&gt;0,Julio!S33,"")</f>
        <v>2500</v>
      </c>
      <c r="T16" s="1">
        <f>IF(Julio!T33&gt;0,Julio!T33,"")</f>
        <v>5000</v>
      </c>
      <c r="U16" s="1" t="str">
        <f>IF(Julio!U33&gt;0,Julio!U33,"")</f>
        <v/>
      </c>
      <c r="V16" s="1">
        <f>IF(Julio!V33&gt;0,Julio!V33,"")</f>
        <v>1500</v>
      </c>
      <c r="W16" s="1">
        <f>IF(Julio!W33&gt;0,Julio!W33,"")</f>
        <v>3000</v>
      </c>
      <c r="X16" s="1">
        <f>IF(Julio!X33&gt;0,Julio!X33,"")</f>
        <v>1500</v>
      </c>
      <c r="Y16" s="1">
        <f>IF(Julio!Y33&gt;0,Julio!Y33,"")</f>
        <v>2000</v>
      </c>
      <c r="Z16" s="1" t="str">
        <f>IF(Julio!Z33&gt;0,Julio!Z33,"")</f>
        <v/>
      </c>
      <c r="AA16" s="1">
        <f>IF(Julio!AA33&gt;0,Julio!AA33,"")</f>
        <v>5000</v>
      </c>
    </row>
    <row r="17" spans="1:29" ht="15" customHeight="1" x14ac:dyDescent="0.3">
      <c r="A17" s="1" t="s">
        <v>40</v>
      </c>
      <c r="B17" s="1" t="str">
        <f>IF(Agosto!B33&gt;0,Agosto!B33,"")</f>
        <v/>
      </c>
      <c r="C17" s="1" t="str">
        <f>IF(Agosto!C33&gt;0,Agosto!C33,"")</f>
        <v/>
      </c>
      <c r="D17" s="1">
        <f>IF(Agosto!D33&gt;0,Agosto!D33,"")</f>
        <v>15691</v>
      </c>
      <c r="E17" s="1" t="str">
        <f>IF(Agosto!E33&gt;0,Agosto!E33,"")</f>
        <v/>
      </c>
      <c r="F17" s="1">
        <f>IF(Agosto!F33&gt;0,Agosto!F33,"")</f>
        <v>28611</v>
      </c>
      <c r="G17" s="1">
        <f>IF(Agosto!G33&gt;0,Agosto!G33,"")</f>
        <v>1185</v>
      </c>
      <c r="H17" s="1">
        <f>IF(Agosto!H33&gt;0,Agosto!H33,"")</f>
        <v>3291.56</v>
      </c>
      <c r="I17" s="1">
        <f>IF(Agosto!I33&gt;0,Agosto!I33,"")</f>
        <v>3335.41</v>
      </c>
      <c r="J17" s="1">
        <f>IF(Agosto!J33&gt;0,Agosto!J33,"")</f>
        <v>700</v>
      </c>
      <c r="K17" s="1">
        <f>IF(Agosto!K33&gt;0,Agosto!K33,"")</f>
        <v>17999.740000000002</v>
      </c>
      <c r="L17" s="1">
        <f>IF(Agosto!L33&gt;0,Agosto!L33,"")</f>
        <v>13997.56</v>
      </c>
      <c r="M17" s="1">
        <f>IF(Agosto!M33&gt;0,Agosto!M33,"")</f>
        <v>19000</v>
      </c>
      <c r="N17" s="1">
        <f>IF(Agosto!N33&gt;0,Agosto!N33,"")</f>
        <v>810</v>
      </c>
      <c r="O17" s="1">
        <f>IF(Agosto!O33&gt;0,Agosto!O33,"")</f>
        <v>13308.64</v>
      </c>
      <c r="P17" s="1">
        <f>IF(Agosto!P33&gt;0,Agosto!P33,"")</f>
        <v>1800</v>
      </c>
      <c r="Q17" s="1" t="str">
        <f>IF(Agosto!Q33&gt;0,Agosto!Q33,"")</f>
        <v/>
      </c>
      <c r="R17" s="1">
        <f>IF(Agosto!R33&gt;0,Agosto!R33,"")</f>
        <v>16436.79</v>
      </c>
      <c r="S17" s="1">
        <f>IF(Agosto!S33&gt;0,Agosto!S33,"")</f>
        <v>2458.12</v>
      </c>
      <c r="T17" s="1">
        <f>IF(Agosto!T33&gt;0,Agosto!T33,"")</f>
        <v>5511.4699999999993</v>
      </c>
      <c r="U17" s="1" t="str">
        <f>IF(Agosto!U33&gt;0,Agosto!U33,"")</f>
        <v/>
      </c>
      <c r="V17" s="1" t="str">
        <f>IF(Agosto!V33&gt;0,Agosto!V33,"")</f>
        <v/>
      </c>
      <c r="W17" s="1" t="str">
        <f>IF(Agosto!W33&gt;0,Agosto!W33,"")</f>
        <v/>
      </c>
      <c r="X17" s="1">
        <f>IF(Agosto!X33&gt;0,Agosto!X33,"")</f>
        <v>396.21000000000004</v>
      </c>
      <c r="Y17" s="1">
        <f>IF(Agosto!Y33&gt;0,Agosto!Y33,"")</f>
        <v>3019.08</v>
      </c>
      <c r="Z17" s="1" t="str">
        <f>IF(Agosto!Z33&gt;0,Agosto!Z33,"")</f>
        <v/>
      </c>
      <c r="AA17" s="1">
        <f>IF(Agosto!AA33&gt;0,Agosto!AA33,"")</f>
        <v>6388.06</v>
      </c>
    </row>
    <row r="18" spans="1:29" ht="15" customHeight="1" x14ac:dyDescent="0.3">
      <c r="A18" s="1" t="s">
        <v>41</v>
      </c>
      <c r="B18" s="1" t="str">
        <f>IF(Setiembre!B32&gt;0,Setiembre!B32,"")</f>
        <v/>
      </c>
      <c r="C18" s="1">
        <f>IF(Setiembre!C32&gt;0,Setiembre!C32,"")</f>
        <v>4369</v>
      </c>
      <c r="D18" s="1">
        <f>IF(Setiembre!D32&gt;0,Setiembre!D32,"")</f>
        <v>15706.32</v>
      </c>
      <c r="E18" s="1">
        <f>IF(Setiembre!E32&gt;0,Setiembre!E32,"")</f>
        <v>498</v>
      </c>
      <c r="F18" s="1">
        <f>IF(Setiembre!F32&gt;0,Setiembre!F32,"")</f>
        <v>26792</v>
      </c>
      <c r="G18" s="1" t="str">
        <f>IF(Setiembre!G32&gt;0,Setiembre!G32,"")</f>
        <v/>
      </c>
      <c r="H18" s="1">
        <f>IF(Setiembre!H32&gt;0,Setiembre!H32,"")</f>
        <v>3291.56</v>
      </c>
      <c r="I18" s="1">
        <f>IF(Setiembre!I32&gt;0,Setiembre!I32,"")</f>
        <v>3687.55</v>
      </c>
      <c r="J18" s="1">
        <f>IF(Setiembre!J32&gt;0,Setiembre!J32,"")</f>
        <v>1000</v>
      </c>
      <c r="K18" s="1">
        <f>IF(Setiembre!K32&gt;0,Setiembre!K32,"")</f>
        <v>23112.77</v>
      </c>
      <c r="L18" s="1">
        <f>IF(Setiembre!L32&gt;0,Setiembre!L32,"")</f>
        <v>7502.34</v>
      </c>
      <c r="M18" s="1">
        <f>IF(Setiembre!M32&gt;0,Setiembre!M32,"")</f>
        <v>23081.75</v>
      </c>
      <c r="N18" s="1">
        <f>IF(Setiembre!N32&gt;0,Setiembre!N32,"")</f>
        <v>810</v>
      </c>
      <c r="O18" s="1">
        <f>IF(Setiembre!O32&gt;0,Setiembre!O32,"")</f>
        <v>3396.5300000000007</v>
      </c>
      <c r="P18" s="1">
        <f>IF(Setiembre!P32&gt;0,Setiembre!P32,"")</f>
        <v>3600</v>
      </c>
      <c r="Q18" s="1">
        <f>IF(Setiembre!Q32&gt;0,Setiembre!Q32,"")</f>
        <v>2508.1999999999998</v>
      </c>
      <c r="R18" s="1">
        <f>IF(Setiembre!R32&gt;0,Setiembre!R32,"")</f>
        <v>25897.909999999996</v>
      </c>
      <c r="S18" s="1">
        <f>IF(Setiembre!S32&gt;0,Setiembre!S32,"")</f>
        <v>1174.1399999999999</v>
      </c>
      <c r="T18" s="1">
        <f>IF(Setiembre!T32&gt;0,Setiembre!T32,"")</f>
        <v>2189.06</v>
      </c>
      <c r="U18" s="1">
        <f>IF(Setiembre!U32&gt;0,Setiembre!U32,"")</f>
        <v>13110.49</v>
      </c>
      <c r="V18" s="1" t="str">
        <f>IF(Setiembre!V32&gt;0,Setiembre!V32,"")</f>
        <v/>
      </c>
      <c r="W18" s="1">
        <f>IF(Setiembre!W32&gt;0,Setiembre!W32,"")</f>
        <v>3247.54</v>
      </c>
      <c r="X18" s="1">
        <f>IF(Setiembre!X32&gt;0,Setiembre!X32,"")</f>
        <v>215</v>
      </c>
      <c r="Y18" s="1" t="str">
        <f>IF(Setiembre!Y32&gt;0,Setiembre!Y32,"")</f>
        <v/>
      </c>
      <c r="Z18" s="1" t="str">
        <f>IF(Setiembre!Z32&gt;0,Setiembre!Z32,"")</f>
        <v/>
      </c>
      <c r="AA18" s="1">
        <f>IF(Setiembre!AA32&gt;0,Setiembre!AA32,"")</f>
        <v>2374.73</v>
      </c>
    </row>
    <row r="19" spans="1:29" ht="15" customHeight="1" x14ac:dyDescent="0.3">
      <c r="A19" s="1" t="s">
        <v>42</v>
      </c>
      <c r="B19" s="1">
        <f>IF(Octubre!B33&gt;0,Octubre!B33,"")</f>
        <v>27138.14</v>
      </c>
      <c r="C19" s="1" t="str">
        <f>IF(Octubre!C33&gt;0,Octubre!C33,"")</f>
        <v/>
      </c>
      <c r="D19" s="1">
        <f>IF(Octubre!D33&gt;0,Octubre!D33,"")</f>
        <v>15751.26</v>
      </c>
      <c r="E19" s="1" t="str">
        <f>IF(Octubre!E33&gt;0,Octubre!E33,"")</f>
        <v/>
      </c>
      <c r="F19" s="1">
        <f>IF(Octubre!F33&gt;0,Octubre!F33,"")</f>
        <v>25901</v>
      </c>
      <c r="G19" s="1">
        <f>IF(Octubre!G33&gt;0,Octubre!G33,"")</f>
        <v>998.36</v>
      </c>
      <c r="H19" s="1">
        <f>IF(Octubre!H33&gt;0,Octubre!H33,"")</f>
        <v>3291.56</v>
      </c>
      <c r="I19" s="1">
        <f>IF(Octubre!I33&gt;0,Octubre!I33,"")</f>
        <v>3274.43</v>
      </c>
      <c r="J19" s="1">
        <f>IF(Octubre!J33&gt;0,Octubre!J33,"")</f>
        <v>700</v>
      </c>
      <c r="K19" s="1">
        <f>IF(Octubre!K33&gt;0,Octubre!K33,"")</f>
        <v>26737.25</v>
      </c>
      <c r="L19" s="1">
        <f>IF(Octubre!L33&gt;0,Octubre!L33,"")</f>
        <v>17990.03</v>
      </c>
      <c r="M19" s="1">
        <f>IF(Octubre!M33&gt;0,Octubre!M33,"")</f>
        <v>16693.46</v>
      </c>
      <c r="N19" s="1">
        <f>IF(Octubre!N33&gt;0,Octubre!N33,"")</f>
        <v>810</v>
      </c>
      <c r="O19" s="1">
        <f>IF(Octubre!O33&gt;0,Octubre!O33,"")</f>
        <v>3963.58</v>
      </c>
      <c r="P19" s="1">
        <f>IF(Octubre!P33&gt;0,Octubre!P33,"")</f>
        <v>1800</v>
      </c>
      <c r="Q19" s="1" t="str">
        <f>IF(Octubre!Q33&gt;0,Octubre!Q33,"")</f>
        <v/>
      </c>
      <c r="R19" s="1">
        <f>IF(Octubre!R33&gt;0,Octubre!R33,"")</f>
        <v>25980.160000000003</v>
      </c>
      <c r="S19" s="1">
        <f>IF(Octubre!S33&gt;0,Octubre!S33,"")</f>
        <v>4082.0299999999997</v>
      </c>
      <c r="T19" s="1">
        <f>IF(Octubre!T33&gt;0,Octubre!T33,"")</f>
        <v>7255.42</v>
      </c>
      <c r="U19" s="1" t="str">
        <f>IF(Octubre!U33&gt;0,Octubre!U33,"")</f>
        <v/>
      </c>
      <c r="V19" s="1" t="str">
        <f>IF(Octubre!V33&gt;0,Octubre!V33,"")</f>
        <v/>
      </c>
      <c r="W19" s="1">
        <f>IF(Octubre!W33&gt;0,Octubre!W33,"")</f>
        <v>500</v>
      </c>
      <c r="X19" s="1">
        <f>IF(Octubre!X33&gt;0,Octubre!X33,"")</f>
        <v>232.5</v>
      </c>
      <c r="Y19" s="1" t="str">
        <f>IF(Octubre!Y33&gt;0,Octubre!Y33,"")</f>
        <v/>
      </c>
      <c r="Z19" s="1" t="str">
        <f>IF(Octubre!Z33&gt;0,Octubre!Z33,"")</f>
        <v/>
      </c>
      <c r="AA19" s="1">
        <f>IF(Octubre!AA33&gt;0,Octubre!AA33,"")</f>
        <v>7220.91</v>
      </c>
    </row>
    <row r="20" spans="1:29" ht="15" customHeight="1" x14ac:dyDescent="0.3">
      <c r="A20" s="1" t="s">
        <v>43</v>
      </c>
      <c r="B20" s="1" t="str">
        <f>IF(Noviembre!B32&gt;0,Noviembre!B32,"")</f>
        <v/>
      </c>
      <c r="C20" s="1" t="str">
        <f>IF(Noviembre!C32&gt;0,Noviembre!C32,"")</f>
        <v/>
      </c>
      <c r="D20" s="1" t="str">
        <f>IF(Noviembre!D32&gt;0,Noviembre!D32,"")</f>
        <v/>
      </c>
      <c r="E20" s="1" t="str">
        <f>IF(Noviembre!E32&gt;0,Noviembre!E32,"")</f>
        <v/>
      </c>
      <c r="F20" s="1" t="str">
        <f>IF(Noviembre!F32&gt;0,Noviembre!F32,"")</f>
        <v/>
      </c>
      <c r="G20" s="1" t="str">
        <f>IF(Noviembre!G32&gt;0,Noviembre!G32,"")</f>
        <v/>
      </c>
      <c r="H20" s="1" t="str">
        <f>IF(Noviembre!H32&gt;0,Noviembre!H32,"")</f>
        <v/>
      </c>
      <c r="I20" s="1" t="str">
        <f>IF(Noviembre!I32&gt;0,Noviembre!I32,"")</f>
        <v/>
      </c>
      <c r="J20" s="1" t="str">
        <f>IF(Noviembre!J32&gt;0,Noviembre!J32,"")</f>
        <v/>
      </c>
      <c r="K20" s="1" t="str">
        <f>IF(Noviembre!K32&gt;0,Noviembre!K32,"")</f>
        <v/>
      </c>
      <c r="L20" s="1" t="str">
        <f>IF(Noviembre!L32&gt;0,Noviembre!L32,"")</f>
        <v/>
      </c>
      <c r="M20" s="1" t="str">
        <f>IF(Noviembre!M32&gt;0,Noviembre!M32,"")</f>
        <v/>
      </c>
      <c r="N20" s="1" t="str">
        <f>IF(Noviembre!N32&gt;0,Noviembre!N32,"")</f>
        <v/>
      </c>
      <c r="O20" s="1" t="str">
        <f>IF(Noviembre!O32&gt;0,Noviembre!O32,"")</f>
        <v/>
      </c>
      <c r="P20" s="1" t="str">
        <f>IF(Noviembre!P32&gt;0,Noviembre!P32,"")</f>
        <v/>
      </c>
      <c r="Q20" s="1" t="str">
        <f>IF(Noviembre!Q32&gt;0,Noviembre!Q32,"")</f>
        <v/>
      </c>
      <c r="R20" s="1" t="str">
        <f>IF(Noviembre!R32&gt;0,Noviembre!R32,"")</f>
        <v/>
      </c>
      <c r="S20" s="1" t="str">
        <f>IF(Noviembre!S32&gt;0,Noviembre!S32,"")</f>
        <v/>
      </c>
      <c r="T20" s="1" t="str">
        <f>IF(Noviembre!T32&gt;0,Noviembre!T32,"")</f>
        <v/>
      </c>
      <c r="U20" s="1" t="str">
        <f>IF(Noviembre!U32&gt;0,Noviembre!U32,"")</f>
        <v/>
      </c>
      <c r="V20" s="1" t="str">
        <f>IF(Noviembre!V32&gt;0,Noviembre!V32,"")</f>
        <v/>
      </c>
      <c r="W20" s="1" t="str">
        <f>IF(Noviembre!W32&gt;0,Noviembre!W32,"")</f>
        <v/>
      </c>
      <c r="X20" s="1" t="str">
        <f>IF(Noviembre!X32&gt;0,Noviembre!X32,"")</f>
        <v/>
      </c>
      <c r="Y20" s="1" t="str">
        <f>IF(Noviembre!Y32&gt;0,Noviembre!Y32,"")</f>
        <v/>
      </c>
      <c r="Z20" s="1" t="str">
        <f>IF(Noviembre!Z32&gt;0,Noviembre!Z32,"")</f>
        <v/>
      </c>
      <c r="AA20" s="1" t="str">
        <f>IF(Noviembre!AA32&gt;0,Noviembre!AA32,"")</f>
        <v/>
      </c>
    </row>
    <row r="21" spans="1:29" ht="15" customHeight="1" x14ac:dyDescent="0.3">
      <c r="A21" s="1" t="s">
        <v>44</v>
      </c>
      <c r="B21" s="1" t="str">
        <f>IF(Diciembre!B33&gt;0,Diciembre!B33,"")</f>
        <v/>
      </c>
      <c r="C21" s="1" t="str">
        <f>IF(Diciembre!C33&gt;0,Diciembre!C33,"")</f>
        <v/>
      </c>
      <c r="D21" s="1" t="str">
        <f>IF(Diciembre!D33&gt;0,Diciembre!D33,"")</f>
        <v/>
      </c>
      <c r="E21" s="1" t="str">
        <f>IF(Diciembre!E33&gt;0,Diciembre!E33,"")</f>
        <v/>
      </c>
      <c r="F21" s="1" t="str">
        <f>IF(Diciembre!F33&gt;0,Diciembre!F33,"")</f>
        <v/>
      </c>
      <c r="G21" s="1" t="str">
        <f>IF(Diciembre!G33&gt;0,Diciembre!G33,"")</f>
        <v/>
      </c>
      <c r="H21" s="1" t="str">
        <f>IF(Diciembre!H33&gt;0,Diciembre!H33,"")</f>
        <v/>
      </c>
      <c r="I21" s="1" t="str">
        <f>IF(Diciembre!I33&gt;0,Diciembre!I33,"")</f>
        <v/>
      </c>
      <c r="J21" s="1" t="str">
        <f>IF(Diciembre!J33&gt;0,Diciembre!J33,"")</f>
        <v/>
      </c>
      <c r="K21" s="1" t="str">
        <f>IF(Diciembre!K33&gt;0,Diciembre!K33,"")</f>
        <v/>
      </c>
      <c r="L21" s="1" t="str">
        <f>IF(Diciembre!L33&gt;0,Diciembre!L33,"")</f>
        <v/>
      </c>
      <c r="M21" s="1" t="str">
        <f>IF(Diciembre!M33&gt;0,Diciembre!M33,"")</f>
        <v/>
      </c>
      <c r="N21" s="1" t="str">
        <f>IF(Diciembre!N33&gt;0,Diciembre!N33,"")</f>
        <v/>
      </c>
      <c r="O21" s="1" t="str">
        <f>IF(Diciembre!O33&gt;0,Diciembre!O33,"")</f>
        <v/>
      </c>
      <c r="P21" s="1" t="str">
        <f>IF(Diciembre!P33&gt;0,Diciembre!P33,"")</f>
        <v/>
      </c>
      <c r="Q21" s="1" t="str">
        <f>IF(Diciembre!Q33&gt;0,Diciembre!Q33,"")</f>
        <v/>
      </c>
      <c r="R21" s="1" t="str">
        <f>IF(Diciembre!R33&gt;0,Diciembre!R33,"")</f>
        <v/>
      </c>
      <c r="S21" s="1" t="str">
        <f>IF(Diciembre!S33&gt;0,Diciembre!S33,"")</f>
        <v/>
      </c>
      <c r="T21" s="1" t="str">
        <f>IF(Diciembre!T33&gt;0,Diciembre!T33,"")</f>
        <v/>
      </c>
      <c r="U21" s="1" t="str">
        <f>IF(Diciembre!U33&gt;0,Diciembre!U33,"")</f>
        <v/>
      </c>
      <c r="V21" s="1" t="str">
        <f>IF(Diciembre!V33&gt;0,Diciembre!V33,"")</f>
        <v/>
      </c>
      <c r="W21" s="1" t="str">
        <f>IF(Diciembre!W33&gt;0,Diciembre!W33,"")</f>
        <v/>
      </c>
      <c r="X21" s="1" t="str">
        <f>IF(Diciembre!X33&gt;0,Diciembre!X33,"")</f>
        <v/>
      </c>
      <c r="Y21" s="1" t="str">
        <f>IF(Diciembre!Y33&gt;0,Diciembre!Y33,"")</f>
        <v/>
      </c>
      <c r="Z21" s="1" t="str">
        <f>IF(Diciembre!Z33&gt;0,Diciembre!Z33,"")</f>
        <v/>
      </c>
      <c r="AA21" s="1" t="str">
        <f>IF(Diciembre!AA33&gt;0,Diciembre!AA33,"")</f>
        <v/>
      </c>
    </row>
    <row r="23" spans="1:29" ht="15" customHeight="1" x14ac:dyDescent="0.3">
      <c r="A23" s="46" t="s">
        <v>48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spans="1:29" ht="15" customHeight="1" x14ac:dyDescent="0.3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 t="s">
        <v>11</v>
      </c>
      <c r="L24" s="1" t="s">
        <v>12</v>
      </c>
      <c r="M24" s="1" t="s">
        <v>13</v>
      </c>
      <c r="N24" s="1" t="s">
        <v>14</v>
      </c>
      <c r="O24" s="1" t="s">
        <v>15</v>
      </c>
      <c r="P24" s="1" t="s">
        <v>16</v>
      </c>
      <c r="Q24" s="1" t="s">
        <v>17</v>
      </c>
      <c r="R24" s="1" t="s">
        <v>18</v>
      </c>
      <c r="S24" s="1" t="s">
        <v>19</v>
      </c>
      <c r="T24" s="1" t="s">
        <v>20</v>
      </c>
      <c r="U24" s="1" t="s">
        <v>46</v>
      </c>
      <c r="V24" s="1" t="s">
        <v>22</v>
      </c>
      <c r="W24" s="1" t="s">
        <v>23</v>
      </c>
      <c r="X24" s="1" t="s">
        <v>47</v>
      </c>
      <c r="Y24" s="1" t="s">
        <v>25</v>
      </c>
      <c r="Z24" s="1" t="s">
        <v>26</v>
      </c>
      <c r="AA24" s="1" t="s">
        <v>27</v>
      </c>
      <c r="AC24" s="11" t="s">
        <v>49</v>
      </c>
    </row>
    <row r="25" spans="1:29" ht="15" customHeight="1" x14ac:dyDescent="0.3">
      <c r="A25" s="1" t="s">
        <v>37</v>
      </c>
      <c r="B25" s="1">
        <f>IF(ISNUMBER(Mayo!B33),B3-Mayo!B33,"")</f>
        <v>0</v>
      </c>
      <c r="C25" s="1">
        <f>IF(ISNUMBER(Mayo!C33),C3-Mayo!C33,"")</f>
        <v>0</v>
      </c>
      <c r="D25" s="1">
        <f>IF(ISNUMBER(Mayo!D33),D3-Mayo!D33,"")</f>
        <v>47.229999999999563</v>
      </c>
      <c r="E25" s="1">
        <f>IF(ISNUMBER(Mayo!E33),E3-Mayo!E33,"")</f>
        <v>30</v>
      </c>
      <c r="F25" s="1">
        <f>IF(ISNUMBER(Mayo!F33),F3-Mayo!F33,"")</f>
        <v>46</v>
      </c>
      <c r="G25" s="1">
        <f>IF(ISNUMBER(Mayo!G33),G3-Mayo!G33,"")</f>
        <v>20</v>
      </c>
      <c r="H25" s="1">
        <f>IF(ISNUMBER(Mayo!H33),H3-Mayo!H33,"")</f>
        <v>208.44000000000005</v>
      </c>
      <c r="I25" s="1">
        <f>IF(ISNUMBER(Mayo!I33),I3-Mayo!I33,"")</f>
        <v>855.73999999999978</v>
      </c>
      <c r="J25" s="1">
        <f>IF(ISNUMBER(Mayo!J33),J3-Mayo!J33,"")</f>
        <v>300</v>
      </c>
      <c r="K25" s="1">
        <f>IF(ISNUMBER(Mayo!K33),K3-Mayo!K33,"")</f>
        <v>0</v>
      </c>
      <c r="L25" s="1">
        <f>IF(ISNUMBER(Mayo!L33),L3-Mayo!L33,"")</f>
        <v>17.989999999997963</v>
      </c>
      <c r="M25" s="1">
        <f>IF(ISNUMBER(Mayo!M33),M3-Mayo!M33,"")</f>
        <v>72.319999999999709</v>
      </c>
      <c r="N25" s="1">
        <f>IF(ISNUMBER(Mayo!N33),N3-Mayo!N33,"")</f>
        <v>40</v>
      </c>
      <c r="O25" s="1">
        <f>IF(ISNUMBER(Mayo!O33),O3-Mayo!O33,"")</f>
        <v>1219.2399999999998</v>
      </c>
      <c r="P25" s="1">
        <f>IF(ISNUMBER(Mayo!P33),P3-Mayo!P33,"")</f>
        <v>1800</v>
      </c>
      <c r="Q25" s="1">
        <f>IF(ISNUMBER(Mayo!Q33),Q3-Mayo!Q33,"")</f>
        <v>50.820000000000164</v>
      </c>
      <c r="R25" s="1">
        <f>IF(ISNUMBER(Mayo!R33),R3-Mayo!R33,"")</f>
        <v>380.78999999999724</v>
      </c>
      <c r="S25" s="1">
        <f>IF(ISNUMBER(Mayo!S33),S3-Mayo!S33,"")</f>
        <v>1689</v>
      </c>
      <c r="T25" s="1">
        <f>IF(ISNUMBER(Mayo!T33),T3-Mayo!T33,"")</f>
        <v>1738.5</v>
      </c>
      <c r="U25" s="1">
        <f>IF(ISNUMBER(Mayo!U33),U3-Mayo!U33,"")</f>
        <v>614.75</v>
      </c>
      <c r="V25" s="1">
        <f>IF(ISNUMBER(Mayo!V33),V3-Mayo!V33,"")</f>
        <v>0</v>
      </c>
      <c r="W25" s="1">
        <f>IF(ISNUMBER(Mayo!W33),W3-Mayo!W33,"")</f>
        <v>1731.1399999999999</v>
      </c>
      <c r="X25" s="1">
        <f>IF(ISNUMBER(Mayo!X33),X3-Mayo!X33,"")</f>
        <v>790.91000000000008</v>
      </c>
      <c r="Y25" s="1">
        <f>IF(ISNUMBER(Mayo!Y33),Y3-Mayo!Y33,"")</f>
        <v>219.67000000000007</v>
      </c>
      <c r="Z25" s="1">
        <f>IF(ISNUMBER(Mayo!Z33),Z3-Mayo!Z33,"")</f>
        <v>0</v>
      </c>
      <c r="AA25" s="1">
        <f>IF(ISNUMBER(Mayo!AA33),AA3-Mayo!AA33,"")</f>
        <v>294.43000000000029</v>
      </c>
      <c r="AC25" s="12">
        <f t="shared" ref="AC25:AC33" si="7">SUMIF(B25:AA25,"&lt;&gt;"&amp;"")</f>
        <v>12166.969999999994</v>
      </c>
    </row>
    <row r="26" spans="1:29" ht="15" customHeight="1" x14ac:dyDescent="0.3">
      <c r="A26" s="1" t="s">
        <v>38</v>
      </c>
      <c r="B26" s="1" t="str">
        <f>IF(ISNUMBER(Junio!B32),B4-Junio!B32,"")</f>
        <v/>
      </c>
      <c r="C26" s="1" t="str">
        <f>IF(ISNUMBER(Junio!C32),C4-Junio!C32,"")</f>
        <v/>
      </c>
      <c r="D26" s="1">
        <f>IF(ISNUMBER(Junio!D32),D4-Junio!D32,"")</f>
        <v>9.4799999999995634</v>
      </c>
      <c r="E26" s="1">
        <f>IF(ISNUMBER(Junio!E32),E4-Junio!E32,"")</f>
        <v>-390.81999999999971</v>
      </c>
      <c r="F26" s="1">
        <f>IF(ISNUMBER(Junio!F32),F4-Junio!F32,"")</f>
        <v>-1932</v>
      </c>
      <c r="G26" s="1">
        <f>IF(ISNUMBER(Junio!G32),G4-Junio!G32,"")</f>
        <v>-15</v>
      </c>
      <c r="H26" s="1">
        <f>IF(ISNUMBER(Junio!H32),H4-Junio!H32,"")</f>
        <v>208.44000000000005</v>
      </c>
      <c r="I26" s="1">
        <f>IF(ISNUMBER(Junio!I32),I4-Junio!I32,"")</f>
        <v>158.34999999999991</v>
      </c>
      <c r="J26" s="1">
        <f>IF(ISNUMBER(Junio!J32),J4-Junio!J32,"")</f>
        <v>0</v>
      </c>
      <c r="K26" s="1">
        <f>IF(ISNUMBER(Junio!K32),K4-Junio!K32,"")</f>
        <v>13.809999999999945</v>
      </c>
      <c r="L26" s="1">
        <f>IF(ISNUMBER(Junio!L32),L4-Junio!L32,"")</f>
        <v>309.10999999999876</v>
      </c>
      <c r="M26" s="1">
        <f>IF(ISNUMBER(Junio!M32),M4-Junio!M32,"")</f>
        <v>-13668.689999999999</v>
      </c>
      <c r="N26" s="1">
        <f>IF(ISNUMBER(Junio!N32),N4-Junio!N32,"")</f>
        <v>40</v>
      </c>
      <c r="O26" s="1">
        <f>IF(ISNUMBER(Junio!O32),O4-Junio!O32,"")</f>
        <v>10195.6</v>
      </c>
      <c r="P26" s="1">
        <f>IF(ISNUMBER(Junio!P32),P4-Junio!P32,"")</f>
        <v>0</v>
      </c>
      <c r="Q26" s="1" t="str">
        <f>IF(ISNUMBER(Junio!Q32),Q4-Junio!Q32,"")</f>
        <v/>
      </c>
      <c r="R26" s="1">
        <f>IF(ISNUMBER(Junio!R32),R4-Junio!R32,"")</f>
        <v>373.87000000000262</v>
      </c>
      <c r="S26" s="1">
        <f>IF(ISNUMBER(Junio!S32),S4-Junio!S32,"")</f>
        <v>204.80000000000018</v>
      </c>
      <c r="T26" s="1" t="str">
        <f>IF(ISNUMBER(Junio!T32),T4-Junio!T32,"")</f>
        <v/>
      </c>
      <c r="U26" s="1" t="str">
        <f>IF(ISNUMBER(Junio!U32),U4-Junio!U32,"")</f>
        <v/>
      </c>
      <c r="V26" s="1" t="str">
        <f>IF(ISNUMBER(Junio!V32),V4-Junio!V32,"")</f>
        <v/>
      </c>
      <c r="W26" s="1" t="str">
        <f>IF(ISNUMBER(Junio!W32),W4-Junio!W32,"")</f>
        <v/>
      </c>
      <c r="X26" s="1">
        <f>IF(ISNUMBER(Junio!X32),X4-Junio!X32,"")</f>
        <v>1285</v>
      </c>
      <c r="Y26" s="1">
        <f>IF(ISNUMBER(Junio!Y32),Y4-Junio!Y32,"")</f>
        <v>-432.94999999999982</v>
      </c>
      <c r="Z26" s="1">
        <f>IF(ISNUMBER(Junio!AA32),Z4-Junio!AA32,"")</f>
        <v>-1650</v>
      </c>
      <c r="AA26" s="1">
        <f>IF(ISNUMBER(Junio!AB32),AA4-Junio!AB32,"")</f>
        <v>-16845.239999999998</v>
      </c>
      <c r="AC26" s="12">
        <f t="shared" si="7"/>
        <v>-22136.239999999994</v>
      </c>
    </row>
    <row r="27" spans="1:29" ht="15" customHeight="1" x14ac:dyDescent="0.3">
      <c r="A27" s="1" t="s">
        <v>39</v>
      </c>
      <c r="B27" s="1" t="str">
        <f>IF(ISNUMBER(Julio!B33),B5-Julio!B33,"")</f>
        <v/>
      </c>
      <c r="C27" s="1">
        <f>IF(ISNUMBER(Julio!C33),C5-Julio!C33,"")</f>
        <v>0</v>
      </c>
      <c r="D27" s="1">
        <f>IF(ISNUMBER(Julio!D33),D5-Julio!D33,"")</f>
        <v>0</v>
      </c>
      <c r="E27" s="1">
        <f>IF(ISNUMBER(Julio!E33),E5-Julio!E33,"")</f>
        <v>0</v>
      </c>
      <c r="F27" s="1">
        <f>IF(ISNUMBER(Julio!F33),F5-Julio!F33,"")</f>
        <v>0</v>
      </c>
      <c r="G27" s="1">
        <f>IF(ISNUMBER(Julio!G33),G5-Julio!G33,"")</f>
        <v>0</v>
      </c>
      <c r="H27" s="1">
        <f>IF(ISNUMBER(Julio!H33),H5-Julio!H33,"")</f>
        <v>0</v>
      </c>
      <c r="I27" s="1">
        <f>IF(ISNUMBER(Julio!I33),I5-Julio!I33,"")</f>
        <v>0</v>
      </c>
      <c r="J27" s="1">
        <f>IF(ISNUMBER(Julio!J33),J5-Julio!J33,"")</f>
        <v>0</v>
      </c>
      <c r="K27" s="1">
        <f>IF(ISNUMBER(Julio!K33),K5-Julio!K33,"")</f>
        <v>0</v>
      </c>
      <c r="L27" s="1">
        <f>IF(ISNUMBER(Julio!L33),L5-Julio!L33,"")</f>
        <v>0</v>
      </c>
      <c r="M27" s="1">
        <f>IF(ISNUMBER(Julio!M33),M5-Julio!M33,"")</f>
        <v>0</v>
      </c>
      <c r="N27" s="1">
        <f>IF(ISNUMBER(Julio!N33),N5-Julio!N33,"")</f>
        <v>0</v>
      </c>
      <c r="O27" s="1">
        <f>IF(ISNUMBER(Julio!O33),O5-Julio!O33,"")</f>
        <v>0</v>
      </c>
      <c r="P27" s="1">
        <f>IF(ISNUMBER(Julio!P33),P5-Julio!P33,"")</f>
        <v>0</v>
      </c>
      <c r="Q27" s="1">
        <f>IF(ISNUMBER(Julio!Q33),Q5-Julio!Q33,"")</f>
        <v>0</v>
      </c>
      <c r="R27" s="1">
        <f>IF(ISNUMBER(Julio!R33),R5-Julio!R33,"")</f>
        <v>0</v>
      </c>
      <c r="S27" s="1">
        <f>IF(ISNUMBER(Julio!S33),S5-Julio!S33,"")</f>
        <v>0</v>
      </c>
      <c r="T27" s="1">
        <f>IF(ISNUMBER(Julio!T33),T5-Julio!T33,"")</f>
        <v>0</v>
      </c>
      <c r="U27" s="1" t="str">
        <f>IF(ISNUMBER(Julio!U33),U5-Julio!U33,"")</f>
        <v/>
      </c>
      <c r="V27" s="1">
        <f>IF(ISNUMBER(Julio!V33),V5-Julio!V33,"")</f>
        <v>0</v>
      </c>
      <c r="W27" s="1">
        <f>IF(ISNUMBER(Julio!W33),W5-Julio!W33,"")</f>
        <v>0</v>
      </c>
      <c r="X27" s="1">
        <f>IF(ISNUMBER(Julio!X33),X5-Julio!X33,"")</f>
        <v>0</v>
      </c>
      <c r="Y27" s="1">
        <f>IF(ISNUMBER(Julio!Y33),Y5-Julio!Y33,"")</f>
        <v>0</v>
      </c>
      <c r="Z27" s="1" t="str">
        <f>IF(ISNUMBER(Julio!Z33),Z5-Julio!Z33,"")</f>
        <v/>
      </c>
      <c r="AA27" s="1">
        <f>IF(ISNUMBER(Julio!AA33),AA5-Julio!AA33,"")</f>
        <v>0</v>
      </c>
      <c r="AC27" s="12">
        <f t="shared" si="7"/>
        <v>0</v>
      </c>
    </row>
    <row r="28" spans="1:29" ht="15" customHeight="1" x14ac:dyDescent="0.3">
      <c r="A28" s="1" t="s">
        <v>40</v>
      </c>
      <c r="B28" s="1" t="str">
        <f>IF(ISNUMBER(Agosto!B33),B6-Agosto!B33,"")</f>
        <v/>
      </c>
      <c r="C28" s="1" t="str">
        <f>IF(ISNUMBER(Agosto!C33),C6-Agosto!C33,"")</f>
        <v/>
      </c>
      <c r="D28" s="1">
        <f>IF(ISNUMBER(Agosto!D33),D6-Agosto!D33,"")</f>
        <v>0</v>
      </c>
      <c r="E28" s="1" t="str">
        <f>IF(ISNUMBER(Agosto!E33),E6-Agosto!E33,"")</f>
        <v/>
      </c>
      <c r="F28" s="1">
        <f>IF(ISNUMBER(Agosto!F33),F6-Agosto!F33,"")</f>
        <v>0</v>
      </c>
      <c r="G28" s="1">
        <f>IF(ISNUMBER(Agosto!G33),G6-Agosto!G33,"")</f>
        <v>0</v>
      </c>
      <c r="H28" s="1">
        <f>IF(ISNUMBER(Agosto!H33),H6-Agosto!H33,"")</f>
        <v>0</v>
      </c>
      <c r="I28" s="1">
        <f>IF(ISNUMBER(Agosto!I33),I6-Agosto!I33,"")</f>
        <v>0</v>
      </c>
      <c r="J28" s="1">
        <f>IF(ISNUMBER(Agosto!J33),J6-Agosto!J33,"")</f>
        <v>0</v>
      </c>
      <c r="K28" s="1">
        <f>IF(ISNUMBER(Agosto!K33),K6-Agosto!K33,"")</f>
        <v>0.25999999999839929</v>
      </c>
      <c r="L28" s="1">
        <f>IF(ISNUMBER(Agosto!L33),L6-Agosto!L33,"")</f>
        <v>2.4400000000005093</v>
      </c>
      <c r="M28" s="1">
        <f>IF(ISNUMBER(Agosto!M33),M6-Agosto!M33,"")</f>
        <v>0</v>
      </c>
      <c r="N28" s="1">
        <f>IF(ISNUMBER(Agosto!N33),N6-Agosto!N33,"")</f>
        <v>0</v>
      </c>
      <c r="O28" s="1">
        <f>IF(ISNUMBER(Agosto!O33),O6-Agosto!O33,"")</f>
        <v>-5308.6399999999994</v>
      </c>
      <c r="P28" s="1">
        <f>IF(ISNUMBER(Agosto!P33),P6-Agosto!P33,"")</f>
        <v>0</v>
      </c>
      <c r="Q28" s="1" t="str">
        <f>IF(ISNUMBER(Agosto!Q33),Q6-Agosto!Q33,"")</f>
        <v/>
      </c>
      <c r="R28" s="1">
        <f>IF(ISNUMBER(Agosto!R33),R6-Agosto!R33,"")</f>
        <v>3563.2099999999991</v>
      </c>
      <c r="S28" s="1">
        <f>IF(ISNUMBER(Agosto!S33),S6-Agosto!S33,"")</f>
        <v>41.880000000000109</v>
      </c>
      <c r="T28" s="1">
        <f>IF(ISNUMBER(Agosto!T33),T6-Agosto!T33,"")</f>
        <v>-511.46999999999935</v>
      </c>
      <c r="U28" s="1">
        <f>IF(ISNUMBER(Agosto!U33),U6-Agosto!U33,"")</f>
        <v>0</v>
      </c>
      <c r="V28" s="1">
        <f>IF(ISNUMBER(Agosto!V33),V6-Agosto!V33,"")</f>
        <v>0</v>
      </c>
      <c r="W28" s="1" t="str">
        <f>IF(ISNUMBER(Agosto!W33),W6-Agosto!W33,"")</f>
        <v/>
      </c>
      <c r="X28" s="1">
        <f>IF(ISNUMBER(Agosto!X33),X6-Agosto!X33,"")</f>
        <v>1103.79</v>
      </c>
      <c r="Y28" s="1">
        <f>IF(ISNUMBER(Agosto!Y33),Y6-Agosto!Y33,"")</f>
        <v>980.92000000000007</v>
      </c>
      <c r="Z28" s="1" t="str">
        <f>IF(ISNUMBER(Agosto!Z33),Z6-Agosto!Z33,"")</f>
        <v/>
      </c>
      <c r="AA28" s="1">
        <f>IF(ISNUMBER(Agosto!AA33),AA6-Agosto!AA33,"")</f>
        <v>-1388.0600000000004</v>
      </c>
      <c r="AC28" s="12">
        <f t="shared" si="7"/>
        <v>-1515.670000000001</v>
      </c>
    </row>
    <row r="29" spans="1:29" ht="15" customHeight="1" x14ac:dyDescent="0.3">
      <c r="A29" s="1" t="s">
        <v>41</v>
      </c>
      <c r="B29" s="1" t="str">
        <f>IF(ISNUMBER(Setiembre!B32),B8-Setiembre!B32,"")</f>
        <v/>
      </c>
      <c r="C29" s="1">
        <f>IF(ISNUMBER(Setiembre!C32),C7-Setiembre!C32,"")</f>
        <v>0</v>
      </c>
      <c r="D29" s="1">
        <f>IF(ISNUMBER(Setiembre!D32),D7-Setiembre!D32,"")</f>
        <v>0</v>
      </c>
      <c r="E29" s="1">
        <f>IF(ISNUMBER(Setiembre!E32),E7-Setiembre!E32,"")</f>
        <v>2</v>
      </c>
      <c r="F29" s="1">
        <f>IF(ISNUMBER(Setiembre!F32),F7-Setiembre!F32,"")</f>
        <v>708</v>
      </c>
      <c r="G29" s="1" t="str">
        <f>IF(ISNUMBER(Setiembre!G32),G7-Setiembre!G32,"")</f>
        <v/>
      </c>
      <c r="H29" s="1">
        <f>IF(ISNUMBER(Setiembre!H32),H7-Setiembre!H32,"")</f>
        <v>8.4400000000000546</v>
      </c>
      <c r="I29" s="1">
        <f>IF(ISNUMBER(Setiembre!I32),I7-Setiembre!I32,"")</f>
        <v>62.449999999999818</v>
      </c>
      <c r="J29" s="1">
        <f>IF(ISNUMBER(Setiembre!J32),J7-Setiembre!J32,"")</f>
        <v>0</v>
      </c>
      <c r="K29" s="1">
        <f>IF(ISNUMBER(Setiembre!K32),K7-Setiembre!K32,"")</f>
        <v>87.229999999999563</v>
      </c>
      <c r="L29" s="1">
        <f>IF(ISNUMBER(Setiembre!L32),L7-Setiembre!L32,"")</f>
        <v>2.6599999999998545</v>
      </c>
      <c r="M29" s="1">
        <f>IF(ISNUMBER(Setiembre!M32),M7-Setiembre!M32,"")</f>
        <v>-81.75</v>
      </c>
      <c r="N29" s="1">
        <f>IF(ISNUMBER(Setiembre!N32),N7-Setiembre!N32,"")</f>
        <v>0</v>
      </c>
      <c r="O29" s="1">
        <f>IF(ISNUMBER(Setiembre!O32),O7-Setiembre!O32,"")</f>
        <v>4603.4699999999993</v>
      </c>
      <c r="P29" s="1">
        <f>IF(ISNUMBER(Setiembre!P32),P7-Setiembre!P32,"")</f>
        <v>-1800</v>
      </c>
      <c r="Q29" s="1">
        <f>IF(ISNUMBER(Setiembre!Q32),Q7-Setiembre!Q32,"")</f>
        <v>-8.1999999999998181</v>
      </c>
      <c r="R29" s="1">
        <f>IF(ISNUMBER(Setiembre!R32),R7-Setiembre!R32,"")</f>
        <v>-6897.9099999999962</v>
      </c>
      <c r="S29" s="1">
        <f>IF(ISNUMBER(Setiembre!S32),S7-Setiembre!S32,"")</f>
        <v>825.86000000000013</v>
      </c>
      <c r="T29" s="1">
        <f>IF(ISNUMBER(Setiembre!T32),T7-Setiembre!T32,"")</f>
        <v>2810.94</v>
      </c>
      <c r="U29" s="1">
        <f>IF(ISNUMBER(Setiembre!U32),U7-Setiembre!U32,"")</f>
        <v>4.5100000000002183</v>
      </c>
      <c r="V29" s="1" t="str">
        <f>IF(ISNUMBER(Setiembre!V32),V7-Setiembre!V32,"")</f>
        <v/>
      </c>
      <c r="W29" s="1">
        <f>IF(ISNUMBER(Setiembre!W32),W7-Setiembre!W32,"")</f>
        <v>-247.53999999999996</v>
      </c>
      <c r="X29" s="1">
        <f>IF(ISNUMBER(Setiembre!X32),X7-Setiembre!X32,"")</f>
        <v>585</v>
      </c>
      <c r="Y29" s="1" t="str">
        <f>IF(ISNUMBER(Setiembre!Y32),Y7-Setiembre!Y32,"")</f>
        <v/>
      </c>
      <c r="Z29" s="1" t="str">
        <f>IF(ISNUMBER(Setiembre!Z32),Z7-Setiembre!Z32,"")</f>
        <v/>
      </c>
      <c r="AA29" s="1">
        <f>IF(ISNUMBER(Setiembre!AA32),AA7-Setiembre!AA32,"")</f>
        <v>2625.27</v>
      </c>
      <c r="AC29" s="12">
        <f t="shared" si="7"/>
        <v>3290.4300000000026</v>
      </c>
    </row>
    <row r="30" spans="1:29" ht="15" customHeight="1" x14ac:dyDescent="0.3">
      <c r="A30" s="1" t="s">
        <v>42</v>
      </c>
      <c r="B30" s="1" t="str">
        <f>IF(ISNUMBER(Setiembre!B33),B9-Setiembre!B33,"")</f>
        <v/>
      </c>
      <c r="C30" s="1">
        <f>IF(ISNUMBER(Octubre!C33),C8-Octubre!C33,"")</f>
        <v>0</v>
      </c>
      <c r="D30" s="1">
        <f>IF(ISNUMBER(Octubre!D33),D8-Octubre!D33,"")</f>
        <v>-1.2600000000002183</v>
      </c>
      <c r="E30" s="1">
        <f>IF(ISNUMBER(Octubre!E33),E8-Octubre!E33,"")</f>
        <v>0</v>
      </c>
      <c r="F30" s="1">
        <f>IF(ISNUMBER(Octubre!F33),F8-Octubre!F33,"")</f>
        <v>1599</v>
      </c>
      <c r="G30" s="1">
        <f>IF(ISNUMBER(Octubre!G33),G8-Octubre!G33,"")</f>
        <v>101.63999999999999</v>
      </c>
      <c r="H30" s="1">
        <f>IF(ISNUMBER(Octubre!H33),H8-Octubre!H33,"")</f>
        <v>8.4400000000000546</v>
      </c>
      <c r="I30" s="1">
        <f>IF(ISNUMBER(Octubre!I33),I8-Octubre!I33,"")</f>
        <v>-274.42999999999984</v>
      </c>
      <c r="J30" s="1">
        <f>IF(ISNUMBER(Octubre!J33),J8-Octubre!J33,"")</f>
        <v>0</v>
      </c>
      <c r="K30" s="1">
        <f>IF(ISNUMBER(Octubre!K33),K8-Octubre!K33,"")</f>
        <v>0.75</v>
      </c>
      <c r="L30" s="1">
        <f>IF(ISNUMBER(Octubre!L33),L8-Octubre!L33,"")</f>
        <v>9.9700000000011642</v>
      </c>
      <c r="M30" s="1">
        <f>IF(ISNUMBER(Octubre!M33),M8-Octubre!M33,"")</f>
        <v>6.5400000000008731</v>
      </c>
      <c r="N30" s="1">
        <f>IF(ISNUMBER(Octubre!N33),N8-Octubre!N33,"")</f>
        <v>0</v>
      </c>
      <c r="O30" s="1">
        <f>IF(ISNUMBER(Octubre!O33),O8-Octubre!O33,"")</f>
        <v>436.42000000000007</v>
      </c>
      <c r="P30" s="1">
        <f>IF(ISNUMBER(Octubre!P33),P8-Octubre!P33,"")</f>
        <v>1800</v>
      </c>
      <c r="Q30" s="1" t="str">
        <f>IF(ISNUMBER(Octubre!Q33),Q8-Octubre!Q33,"")</f>
        <v/>
      </c>
      <c r="R30" s="1">
        <f>IF(ISNUMBER(Octubre!R33),R8-Octubre!R33,"")</f>
        <v>-5980.1600000000035</v>
      </c>
      <c r="S30" s="1">
        <f>IF(ISNUMBER(Octubre!S33),S8-Octubre!S33,"")</f>
        <v>-2082.0299999999997</v>
      </c>
      <c r="T30" s="1">
        <f>IF(ISNUMBER(Octubre!T33),T8-Octubre!T33,"")</f>
        <v>-2255.42</v>
      </c>
      <c r="U30" s="1">
        <f>IF(ISNUMBER(Octubre!U33),U8-Octubre!U33,"")</f>
        <v>0</v>
      </c>
      <c r="V30" s="1" t="str">
        <f>IF(ISNUMBER(Octubre!V33),V8-Octubre!V33,"")</f>
        <v/>
      </c>
      <c r="W30" s="1">
        <f>IF(ISNUMBER(Octubre!W33),W8-Octubre!W33,"")</f>
        <v>2500</v>
      </c>
      <c r="X30" s="1">
        <f>IF(ISNUMBER(Octubre!X33),X8-Octubre!X33,"")</f>
        <v>567.5</v>
      </c>
      <c r="Y30" s="1" t="str">
        <f>IF(ISNUMBER(Octubre!Y33),Y8-Octubre!Y33,"")</f>
        <v/>
      </c>
      <c r="Z30" s="1" t="str">
        <f>IF(ISNUMBER(Octubre!Z33),Z8-Octubre!Z33,"")</f>
        <v/>
      </c>
      <c r="AA30" s="1">
        <f>IF(ISNUMBER(Octubre!AA33),AA8-Octubre!AA33,"")</f>
        <v>-2220.91</v>
      </c>
      <c r="AC30" s="12">
        <f t="shared" si="7"/>
        <v>-5783.9500000000007</v>
      </c>
    </row>
    <row r="31" spans="1:29" ht="15" customHeight="1" x14ac:dyDescent="0.3">
      <c r="A31" s="1" t="s">
        <v>43</v>
      </c>
      <c r="B31" s="1" t="str">
        <f>IF(ISNUMBER(Noviembre!B32),B9-Noviembre!B32,"")</f>
        <v/>
      </c>
      <c r="C31" s="1" t="str">
        <f>IF(ISNUMBER(Noviembre!C32),C9-Noviembre!C32,"")</f>
        <v/>
      </c>
      <c r="D31" s="1" t="str">
        <f>IF(ISNUMBER(Noviembre!D32),D9-Noviembre!D32,"")</f>
        <v/>
      </c>
      <c r="E31" s="1" t="str">
        <f>IF(ISNUMBER(Noviembre!E32),E9-Noviembre!E32,"")</f>
        <v/>
      </c>
      <c r="F31" s="1" t="str">
        <f>IF(ISNUMBER(Noviembre!F32),F9-Noviembre!F32,"")</f>
        <v/>
      </c>
      <c r="G31" s="1" t="str">
        <f>IF(ISNUMBER(Noviembre!G32),G9-Noviembre!G32,"")</f>
        <v/>
      </c>
      <c r="H31" s="1" t="str">
        <f>IF(ISNUMBER(Noviembre!H32),H9-Noviembre!H32,"")</f>
        <v/>
      </c>
      <c r="I31" s="1" t="str">
        <f>IF(ISNUMBER(Noviembre!I32),I9-Noviembre!I32,"")</f>
        <v/>
      </c>
      <c r="J31" s="1" t="str">
        <f>IF(ISNUMBER(Noviembre!J32),J9-Noviembre!J32,"")</f>
        <v/>
      </c>
      <c r="K31" s="1" t="str">
        <f>IF(ISNUMBER(Noviembre!K32),K9-Noviembre!K32,"")</f>
        <v/>
      </c>
      <c r="L31" s="1" t="str">
        <f>IF(ISNUMBER(Noviembre!L32),L9-Noviembre!L32,"")</f>
        <v/>
      </c>
      <c r="M31" s="1" t="str">
        <f>IF(ISNUMBER(Noviembre!M32),M9-Noviembre!M32,"")</f>
        <v/>
      </c>
      <c r="N31" s="1" t="str">
        <f>IF(ISNUMBER(Noviembre!N32),N9-Noviembre!N32,"")</f>
        <v/>
      </c>
      <c r="O31" s="1" t="str">
        <f>IF(ISNUMBER(Noviembre!O32),O9-Noviembre!O32,"")</f>
        <v/>
      </c>
      <c r="P31" s="1" t="str">
        <f>IF(ISNUMBER(Noviembre!P32),P9-Noviembre!P32,"")</f>
        <v/>
      </c>
      <c r="Q31" s="1" t="str">
        <f>IF(ISNUMBER(Noviembre!Q32),Q9-Noviembre!Q32,"")</f>
        <v/>
      </c>
      <c r="R31" s="1" t="str">
        <f>IF(ISNUMBER(Noviembre!R32),R9-Noviembre!R32,"")</f>
        <v/>
      </c>
      <c r="S31" s="1" t="str">
        <f>IF(ISNUMBER(Noviembre!S32),S9-Noviembre!S32,"")</f>
        <v/>
      </c>
      <c r="T31" s="1" t="str">
        <f>IF(ISNUMBER(Noviembre!T32),T9-Noviembre!T32,"")</f>
        <v/>
      </c>
      <c r="U31" s="1" t="str">
        <f>IF(ISNUMBER(Noviembre!U32),U9-Noviembre!U32,"")</f>
        <v/>
      </c>
      <c r="V31" s="1" t="str">
        <f>IF(ISNUMBER(Noviembre!V32),V9-Noviembre!V32,"")</f>
        <v/>
      </c>
      <c r="W31" s="1" t="str">
        <f>IF(ISNUMBER(Noviembre!W32),W9-Noviembre!W32,"")</f>
        <v/>
      </c>
      <c r="X31" s="1" t="str">
        <f>IF(ISNUMBER(Noviembre!X32),X9-Noviembre!X32,"")</f>
        <v/>
      </c>
      <c r="Y31" s="1" t="str">
        <f>IF(ISNUMBER(Noviembre!Y32),Y9-Noviembre!Y32,"")</f>
        <v/>
      </c>
      <c r="Z31" s="1" t="str">
        <f>IF(ISNUMBER(Noviembre!Z32),Z9-Noviembre!Z32,"")</f>
        <v/>
      </c>
      <c r="AA31" s="1" t="str">
        <f>IF(ISNUMBER(Noviembre!AA32),AA9-Noviembre!AA32,"")</f>
        <v/>
      </c>
      <c r="AC31" s="12">
        <f t="shared" si="7"/>
        <v>0</v>
      </c>
    </row>
    <row r="32" spans="1:29" ht="15" customHeight="1" x14ac:dyDescent="0.3">
      <c r="A32" s="1" t="s">
        <v>44</v>
      </c>
      <c r="B32" s="1" t="str">
        <f>IF(ISNUMBER(Diciembre!B33),B10-Diciembre!B33,"")</f>
        <v/>
      </c>
      <c r="C32" s="1" t="str">
        <f>IF(ISNUMBER(Diciembre!C33),C10-Diciembre!C33,"")</f>
        <v/>
      </c>
      <c r="D32" s="1" t="str">
        <f>IF(ISNUMBER(Diciembre!D33),D10-Diciembre!D33,"")</f>
        <v/>
      </c>
      <c r="E32" s="1" t="str">
        <f>IF(ISNUMBER(Diciembre!E33),E10-Diciembre!E33,"")</f>
        <v/>
      </c>
      <c r="F32" s="1" t="str">
        <f>IF(ISNUMBER(Diciembre!F33),F10-Diciembre!F33,"")</f>
        <v/>
      </c>
      <c r="G32" s="1" t="str">
        <f>IF(ISNUMBER(Diciembre!G33),G10-Diciembre!G33,"")</f>
        <v/>
      </c>
      <c r="H32" s="1" t="str">
        <f>IF(ISNUMBER(Diciembre!H33),H10-Diciembre!H33,"")</f>
        <v/>
      </c>
      <c r="I32" s="1" t="str">
        <f>IF(ISNUMBER(Diciembre!I33),I10-Diciembre!I33,"")</f>
        <v/>
      </c>
      <c r="J32" s="1" t="str">
        <f>IF(ISNUMBER(Diciembre!J33),J10-Diciembre!J33,"")</f>
        <v/>
      </c>
      <c r="K32" s="1" t="str">
        <f>IF(ISNUMBER(Diciembre!K33),K10-Diciembre!K33,"")</f>
        <v/>
      </c>
      <c r="L32" s="1" t="str">
        <f>IF(ISNUMBER(Diciembre!L33),L10-Diciembre!L33,"")</f>
        <v/>
      </c>
      <c r="M32" s="1" t="str">
        <f>IF(ISNUMBER(Diciembre!M33),M10-Diciembre!M33,"")</f>
        <v/>
      </c>
      <c r="N32" s="1" t="str">
        <f>IF(ISNUMBER(Diciembre!N33),N10-Diciembre!N33,"")</f>
        <v/>
      </c>
      <c r="O32" s="1" t="str">
        <f>IF(ISNUMBER(Diciembre!O33),O10-Diciembre!O33,"")</f>
        <v/>
      </c>
      <c r="P32" s="1" t="str">
        <f>IF(ISNUMBER(Diciembre!P33),P10-Diciembre!P33,"")</f>
        <v/>
      </c>
      <c r="Q32" s="1" t="str">
        <f>IF(ISNUMBER(Diciembre!Q33),Q10-Diciembre!Q33,"")</f>
        <v/>
      </c>
      <c r="R32" s="1" t="str">
        <f>IF(ISNUMBER(Diciembre!R33),R10-Diciembre!R33,"")</f>
        <v/>
      </c>
      <c r="S32" s="1" t="str">
        <f>IF(ISNUMBER(Diciembre!S33),S10-Diciembre!S33,"")</f>
        <v/>
      </c>
      <c r="T32" s="1" t="str">
        <f>IF(ISNUMBER(Diciembre!T33),T10-Diciembre!T33,"")</f>
        <v/>
      </c>
      <c r="U32" s="1" t="str">
        <f>IF(ISNUMBER(Diciembre!U33),U10-Diciembre!U33,"")</f>
        <v/>
      </c>
      <c r="V32" s="1" t="str">
        <f>IF(ISNUMBER(Diciembre!V33),V10-Diciembre!V33,"")</f>
        <v/>
      </c>
      <c r="W32" s="1" t="str">
        <f>IF(ISNUMBER(Diciembre!W33),W10-Diciembre!W33,"")</f>
        <v/>
      </c>
      <c r="X32" s="1" t="str">
        <f>IF(ISNUMBER(Diciembre!X33),X10-Diciembre!X33,"")</f>
        <v/>
      </c>
      <c r="Y32" s="1" t="str">
        <f>IF(ISNUMBER(Diciembre!Y33),Y10-Diciembre!Y33,"")</f>
        <v/>
      </c>
      <c r="Z32" s="1" t="str">
        <f>IF(ISNUMBER(Diciembre!Z33),Z10-Diciembre!Z33,"")</f>
        <v/>
      </c>
      <c r="AA32" s="1" t="str">
        <f>IF(ISNUMBER(Diciembre!AA33),AA10-Diciembre!AA33,"")</f>
        <v/>
      </c>
      <c r="AC32" s="12">
        <f t="shared" si="7"/>
        <v>0</v>
      </c>
    </row>
    <row r="33" spans="1:29" ht="15" customHeight="1" x14ac:dyDescent="0.3">
      <c r="A33" s="13" t="s">
        <v>50</v>
      </c>
      <c r="B33" s="12">
        <f t="shared" ref="B33:AA33" si="8">SUMIF(B25:B32,"&lt;&gt;"&amp;"")</f>
        <v>0</v>
      </c>
      <c r="C33" s="12">
        <f t="shared" si="8"/>
        <v>0</v>
      </c>
      <c r="D33" s="12">
        <f t="shared" si="8"/>
        <v>55.449999999998909</v>
      </c>
      <c r="E33" s="12">
        <f t="shared" si="8"/>
        <v>-358.81999999999971</v>
      </c>
      <c r="F33" s="12">
        <f t="shared" si="8"/>
        <v>421</v>
      </c>
      <c r="G33" s="12">
        <f t="shared" si="8"/>
        <v>106.63999999999999</v>
      </c>
      <c r="H33" s="12">
        <f t="shared" si="8"/>
        <v>433.76000000000022</v>
      </c>
      <c r="I33" s="12">
        <f t="shared" si="8"/>
        <v>802.10999999999967</v>
      </c>
      <c r="J33" s="12">
        <f t="shared" si="8"/>
        <v>300</v>
      </c>
      <c r="K33" s="12">
        <f t="shared" si="8"/>
        <v>102.04999999999791</v>
      </c>
      <c r="L33" s="12">
        <f t="shared" si="8"/>
        <v>342.16999999999825</v>
      </c>
      <c r="M33" s="12">
        <f t="shared" si="8"/>
        <v>-13671.579999999998</v>
      </c>
      <c r="N33" s="12">
        <f t="shared" si="8"/>
        <v>80</v>
      </c>
      <c r="O33" s="12">
        <f t="shared" si="8"/>
        <v>11146.09</v>
      </c>
      <c r="P33" s="12">
        <f t="shared" si="8"/>
        <v>1800</v>
      </c>
      <c r="Q33" s="12">
        <f t="shared" si="8"/>
        <v>42.620000000000346</v>
      </c>
      <c r="R33" s="12">
        <f t="shared" si="8"/>
        <v>-8560.2000000000007</v>
      </c>
      <c r="S33" s="12">
        <f t="shared" si="8"/>
        <v>679.51000000000067</v>
      </c>
      <c r="T33" s="12">
        <f t="shared" si="8"/>
        <v>1782.5500000000006</v>
      </c>
      <c r="U33" s="12">
        <f t="shared" si="8"/>
        <v>619.26000000000022</v>
      </c>
      <c r="V33" s="12">
        <f t="shared" si="8"/>
        <v>0</v>
      </c>
      <c r="W33" s="12">
        <f t="shared" si="8"/>
        <v>3983.6</v>
      </c>
      <c r="X33" s="12">
        <f t="shared" si="8"/>
        <v>4332.2</v>
      </c>
      <c r="Y33" s="12">
        <f t="shared" si="8"/>
        <v>767.64000000000033</v>
      </c>
      <c r="Z33" s="12">
        <f t="shared" si="8"/>
        <v>-1650</v>
      </c>
      <c r="AA33" s="12">
        <f t="shared" si="8"/>
        <v>-17534.509999999998</v>
      </c>
      <c r="AC33" s="12">
        <f t="shared" si="7"/>
        <v>-13978.46</v>
      </c>
    </row>
    <row r="36" spans="1:29" ht="15.75" customHeight="1" x14ac:dyDescent="0.3">
      <c r="A36" s="14" t="s">
        <v>51</v>
      </c>
    </row>
    <row r="37" spans="1:29" ht="15" customHeight="1" x14ac:dyDescent="0.3">
      <c r="A37" s="15"/>
      <c r="B37" s="15" t="s">
        <v>52</v>
      </c>
      <c r="C37" s="15" t="s">
        <v>37</v>
      </c>
      <c r="D37" s="15" t="s">
        <v>38</v>
      </c>
      <c r="E37" s="15" t="s">
        <v>39</v>
      </c>
      <c r="F37" s="15" t="s">
        <v>40</v>
      </c>
      <c r="G37" s="15" t="s">
        <v>41</v>
      </c>
      <c r="H37" s="15" t="s">
        <v>42</v>
      </c>
      <c r="I37" s="15" t="s">
        <v>43</v>
      </c>
      <c r="J37" s="15" t="s">
        <v>44</v>
      </c>
      <c r="K37" s="15"/>
      <c r="L37" s="15" t="s">
        <v>53</v>
      </c>
      <c r="M37" s="15" t="s">
        <v>54</v>
      </c>
      <c r="N37" s="15" t="s">
        <v>55</v>
      </c>
    </row>
    <row r="38" spans="1:29" ht="15" customHeight="1" x14ac:dyDescent="0.3">
      <c r="A38" s="16" t="s">
        <v>51</v>
      </c>
      <c r="B38" s="17">
        <v>400000</v>
      </c>
      <c r="C38" s="18"/>
      <c r="D38" s="18"/>
      <c r="E38" s="18"/>
      <c r="F38" s="18"/>
      <c r="G38" s="18"/>
      <c r="H38" s="18"/>
      <c r="I38" s="18"/>
      <c r="J38" s="18"/>
      <c r="K38" s="18"/>
      <c r="L38" s="19">
        <f>SUM(C38:J38)</f>
        <v>0</v>
      </c>
      <c r="M38" s="20">
        <f>L38/2</f>
        <v>0</v>
      </c>
      <c r="N38" s="20">
        <f>L38/2</f>
        <v>0</v>
      </c>
    </row>
    <row r="39" spans="1:29" ht="15" customHeight="1" x14ac:dyDescent="0.3">
      <c r="A39" s="21" t="s">
        <v>56</v>
      </c>
      <c r="L39" s="22">
        <f>L38/B38</f>
        <v>0</v>
      </c>
    </row>
    <row r="41" spans="1:29" ht="15" customHeight="1" x14ac:dyDescent="0.3">
      <c r="A41" s="23" t="s">
        <v>57</v>
      </c>
    </row>
    <row r="42" spans="1:29" ht="15" customHeight="1" x14ac:dyDescent="0.3">
      <c r="A42" s="24" t="s">
        <v>58</v>
      </c>
      <c r="B42" s="24" t="s">
        <v>59</v>
      </c>
      <c r="C42" s="24" t="s">
        <v>60</v>
      </c>
    </row>
    <row r="43" spans="1:29" ht="15" customHeight="1" x14ac:dyDescent="0.3">
      <c r="A43" s="25"/>
      <c r="B43" s="26"/>
      <c r="C43" s="27"/>
    </row>
    <row r="44" spans="1:29" ht="15" customHeight="1" x14ac:dyDescent="0.3">
      <c r="A44" s="25"/>
      <c r="B44" s="26"/>
      <c r="C44" s="27"/>
    </row>
    <row r="45" spans="1:29" ht="15" customHeight="1" x14ac:dyDescent="0.3">
      <c r="A45" s="25"/>
      <c r="B45" s="26"/>
      <c r="C45" s="27"/>
    </row>
    <row r="46" spans="1:29" ht="15" customHeight="1" x14ac:dyDescent="0.3">
      <c r="A46" s="25"/>
      <c r="B46" s="26"/>
      <c r="C46" s="27"/>
    </row>
    <row r="47" spans="1:29" ht="15" customHeight="1" x14ac:dyDescent="0.3">
      <c r="A47" s="25"/>
      <c r="B47" s="26"/>
      <c r="C47" s="27"/>
    </row>
    <row r="48" spans="1:29" ht="15" customHeight="1" x14ac:dyDescent="0.3">
      <c r="A48" s="25"/>
      <c r="B48" s="26"/>
      <c r="C48" s="27"/>
    </row>
    <row r="49" spans="1:3" ht="15" customHeight="1" x14ac:dyDescent="0.3">
      <c r="A49" s="25"/>
      <c r="B49" s="26"/>
      <c r="C49" s="27"/>
    </row>
    <row r="50" spans="1:3" ht="15" customHeight="1" x14ac:dyDescent="0.3">
      <c r="A50" s="25"/>
      <c r="B50" s="26"/>
      <c r="C50" s="27"/>
    </row>
    <row r="51" spans="1:3" ht="15" customHeight="1" x14ac:dyDescent="0.3">
      <c r="A51" s="25"/>
      <c r="B51" s="26"/>
      <c r="C51" s="27"/>
    </row>
    <row r="52" spans="1:3" ht="15" customHeight="1" x14ac:dyDescent="0.3">
      <c r="A52" s="25"/>
      <c r="B52" s="26"/>
      <c r="C52" s="27"/>
    </row>
    <row r="53" spans="1:3" ht="15" customHeight="1" x14ac:dyDescent="0.3">
      <c r="A53" s="28" t="s">
        <v>61</v>
      </c>
      <c r="B53" s="29"/>
      <c r="C53" s="30">
        <f>SUM(C43:C52)</f>
        <v>0</v>
      </c>
    </row>
    <row r="54" spans="1:3" ht="15" customHeight="1" x14ac:dyDescent="0.3">
      <c r="A54" s="16" t="s">
        <v>62</v>
      </c>
      <c r="B54" s="31"/>
      <c r="C54" s="32">
        <f>L38-C53</f>
        <v>0</v>
      </c>
    </row>
  </sheetData>
  <mergeCells count="3">
    <mergeCell ref="A1:AB1"/>
    <mergeCell ref="A12:AB12"/>
    <mergeCell ref="A23:AB23"/>
  </mergeCells>
  <conditionalFormatting sqref="B25:AB33">
    <cfRule type="cellIs" dxfId="2" priority="2" operator="greaterThanOrEqual">
      <formula>0</formula>
    </cfRule>
    <cfRule type="cellIs" dxfId="1" priority="3" operator="between">
      <formula>-500</formula>
      <formula>-0.01</formula>
    </cfRule>
    <cfRule type="cellIs" dxfId="0" priority="4" operator="lessThan">
      <formula>-500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3"/>
  <sheetViews>
    <sheetView zoomScaleNormal="100" workbookViewId="0">
      <selection activeCell="A11" sqref="A11"/>
    </sheetView>
  </sheetViews>
  <sheetFormatPr baseColWidth="10" defaultColWidth="10.6640625" defaultRowHeight="14.4" x14ac:dyDescent="0.3"/>
  <cols>
    <col min="1" max="1" width="8" customWidth="1"/>
    <col min="2" max="3" width="13" customWidth="1"/>
    <col min="4" max="4" width="21.109375" customWidth="1"/>
    <col min="5" max="8" width="13" customWidth="1"/>
    <col min="9" max="9" width="12.33203125" customWidth="1"/>
    <col min="10" max="11" width="15.88671875" customWidth="1"/>
    <col min="12" max="12" width="19.44140625" customWidth="1"/>
    <col min="13" max="13" width="22.44140625" customWidth="1"/>
    <col min="14" max="14" width="13" customWidth="1"/>
    <col min="15" max="15" width="22.33203125" customWidth="1"/>
    <col min="16" max="17" width="13" customWidth="1"/>
    <col min="18" max="19" width="10.33203125" customWidth="1"/>
    <col min="20" max="20" width="7.109375" customWidth="1"/>
    <col min="21" max="21" width="20.109375" customWidth="1"/>
    <col min="22" max="23" width="13" customWidth="1"/>
    <col min="24" max="24" width="17.44140625" customWidth="1"/>
    <col min="25" max="25" width="9.109375" customWidth="1"/>
    <col min="26" max="26" width="12.44140625" customWidth="1"/>
    <col min="27" max="27" width="6.5546875" customWidth="1"/>
    <col min="28" max="28" width="13.33203125" customWidth="1"/>
    <col min="29" max="29" width="25" customWidth="1"/>
  </cols>
  <sheetData>
    <row r="1" spans="1:30" ht="28.5" customHeight="1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63</v>
      </c>
      <c r="AA1" s="33" t="s">
        <v>27</v>
      </c>
      <c r="AB1" s="2" t="s">
        <v>28</v>
      </c>
      <c r="AC1" s="33" t="s">
        <v>29</v>
      </c>
      <c r="AD1" s="33" t="s">
        <v>64</v>
      </c>
    </row>
    <row r="2" spans="1:30" ht="15" customHeight="1" x14ac:dyDescent="0.3">
      <c r="A2" s="34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6"/>
      <c r="AC2" s="35">
        <f t="shared" ref="AC2:AC32" si="0">SUM(B2:AA2)</f>
        <v>0</v>
      </c>
      <c r="AD2" s="35"/>
    </row>
    <row r="3" spans="1:30" ht="15" customHeight="1" x14ac:dyDescent="0.3">
      <c r="A3" s="34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  <c r="AC3" s="35">
        <f t="shared" si="0"/>
        <v>0</v>
      </c>
      <c r="AD3" s="35"/>
    </row>
    <row r="4" spans="1:30" ht="15" customHeight="1" x14ac:dyDescent="0.3">
      <c r="A4" s="34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>
        <v>2754.82</v>
      </c>
      <c r="S4" s="35"/>
      <c r="T4" s="35"/>
      <c r="U4" s="35"/>
      <c r="V4" s="35"/>
      <c r="W4" s="35"/>
      <c r="X4" s="35"/>
      <c r="Y4" s="35"/>
      <c r="Z4" s="35"/>
      <c r="AA4" s="35"/>
      <c r="AB4" s="36"/>
      <c r="AC4" s="35">
        <f t="shared" si="0"/>
        <v>2754.82</v>
      </c>
      <c r="AD4" s="35"/>
    </row>
    <row r="5" spans="1:30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>
        <v>422.95</v>
      </c>
      <c r="S5" s="35"/>
      <c r="T5" s="35"/>
      <c r="U5" s="35"/>
      <c r="V5" s="35"/>
      <c r="W5" s="35"/>
      <c r="X5" s="35">
        <v>68.64</v>
      </c>
      <c r="Y5" s="35"/>
      <c r="Z5" s="35"/>
      <c r="AA5" s="35"/>
      <c r="AB5" s="36"/>
      <c r="AC5" s="35">
        <f t="shared" si="0"/>
        <v>491.59</v>
      </c>
      <c r="AD5" s="35"/>
    </row>
    <row r="6" spans="1:30" ht="15" customHeight="1" x14ac:dyDescent="0.3">
      <c r="A6" s="34">
        <v>5</v>
      </c>
      <c r="B6" s="35"/>
      <c r="C6" s="35"/>
      <c r="D6" s="35"/>
      <c r="E6" s="35"/>
      <c r="F6" s="35">
        <v>17944</v>
      </c>
      <c r="G6" s="35">
        <v>980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>
        <f t="shared" si="0"/>
        <v>18924</v>
      </c>
      <c r="AD6" s="35"/>
    </row>
    <row r="7" spans="1:30" ht="15" customHeight="1" x14ac:dyDescent="0.3">
      <c r="A7" s="34">
        <v>6</v>
      </c>
      <c r="B7" s="35"/>
      <c r="C7" s="35"/>
      <c r="D7" s="35"/>
      <c r="E7" s="35">
        <v>10570</v>
      </c>
      <c r="F7" s="35">
        <v>8110</v>
      </c>
      <c r="G7" s="35"/>
      <c r="H7" s="35">
        <f>3327-35.44</f>
        <v>3291.56</v>
      </c>
      <c r="I7" s="35">
        <f>2180-35.74</f>
        <v>2144.2600000000002</v>
      </c>
      <c r="J7" s="35"/>
      <c r="K7" s="35"/>
      <c r="L7" s="35">
        <f>17828.45+253.56</f>
        <v>18082.010000000002</v>
      </c>
      <c r="M7" s="35"/>
      <c r="N7" s="35"/>
      <c r="O7" s="35"/>
      <c r="P7" s="35"/>
      <c r="Q7" s="35"/>
      <c r="R7" s="35">
        <v>135</v>
      </c>
      <c r="S7" s="35"/>
      <c r="T7" s="35"/>
      <c r="U7" s="35"/>
      <c r="V7" s="35"/>
      <c r="W7" s="35"/>
      <c r="X7" s="35">
        <v>334.65</v>
      </c>
      <c r="Y7" s="35"/>
      <c r="Z7" s="35"/>
      <c r="AA7" s="35">
        <v>2258.36</v>
      </c>
      <c r="AB7" s="36"/>
      <c r="AC7" s="35">
        <f t="shared" si="0"/>
        <v>44925.840000000004</v>
      </c>
      <c r="AD7" s="35" t="s">
        <v>65</v>
      </c>
    </row>
    <row r="8" spans="1:30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>
        <v>351</v>
      </c>
      <c r="P8" s="35"/>
      <c r="Q8" s="35"/>
      <c r="R8" s="35">
        <f>454-8.26+506-8.3</f>
        <v>943.44</v>
      </c>
      <c r="S8" s="35"/>
      <c r="T8" s="35">
        <v>1540</v>
      </c>
      <c r="U8" s="35"/>
      <c r="V8" s="35"/>
      <c r="W8" s="35"/>
      <c r="X8" s="35">
        <f>2.27*40</f>
        <v>90.8</v>
      </c>
      <c r="Y8" s="35"/>
      <c r="Z8" s="35"/>
      <c r="AA8" s="35"/>
      <c r="AB8" s="36"/>
      <c r="AC8" s="35">
        <f t="shared" si="0"/>
        <v>2925.2400000000002</v>
      </c>
      <c r="AD8" s="35"/>
    </row>
    <row r="9" spans="1:30" ht="15" customHeight="1" x14ac:dyDescent="0.3">
      <c r="A9" s="34">
        <v>8</v>
      </c>
      <c r="B9" s="35"/>
      <c r="C9" s="35"/>
      <c r="D9" s="35"/>
      <c r="E9" s="35"/>
      <c r="F9" s="35"/>
      <c r="G9" s="35"/>
      <c r="H9" s="35"/>
      <c r="I9" s="35"/>
      <c r="J9" s="35">
        <v>700</v>
      </c>
      <c r="K9" s="35"/>
      <c r="L9" s="35"/>
      <c r="M9" s="35"/>
      <c r="N9" s="35">
        <v>810</v>
      </c>
      <c r="O9" s="37">
        <f>1000-16.39</f>
        <v>983.61</v>
      </c>
      <c r="P9" s="35"/>
      <c r="Q9" s="35"/>
      <c r="R9" s="35">
        <f>452-2.93+179-4.85</f>
        <v>623.21999999999991</v>
      </c>
      <c r="S9" s="35"/>
      <c r="T9" s="35">
        <v>500</v>
      </c>
      <c r="U9" s="35"/>
      <c r="V9" s="35"/>
      <c r="W9" s="35"/>
      <c r="X9" s="35"/>
      <c r="Y9" s="35"/>
      <c r="Z9" s="35"/>
      <c r="AA9" s="35">
        <f>899-14.74</f>
        <v>884.26</v>
      </c>
      <c r="AB9" s="36"/>
      <c r="AC9" s="35">
        <f t="shared" si="0"/>
        <v>4501.09</v>
      </c>
      <c r="AD9" s="35" t="s">
        <v>66</v>
      </c>
    </row>
    <row r="10" spans="1:30" ht="15" customHeight="1" x14ac:dyDescent="0.3">
      <c r="A10" s="34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>
        <v>1321</v>
      </c>
      <c r="P10" s="35"/>
      <c r="Q10" s="35"/>
      <c r="R10" s="35"/>
      <c r="S10" s="35"/>
      <c r="T10" s="35">
        <f>1037-17</f>
        <v>1020</v>
      </c>
      <c r="U10" s="35"/>
      <c r="V10" s="35"/>
      <c r="W10" s="35"/>
      <c r="X10" s="35"/>
      <c r="Y10" s="35"/>
      <c r="Z10" s="35"/>
      <c r="AA10" s="35"/>
      <c r="AB10" s="36"/>
      <c r="AC10" s="35">
        <f t="shared" si="0"/>
        <v>2341</v>
      </c>
      <c r="AD10" s="35"/>
    </row>
    <row r="11" spans="1:30" ht="15" customHeight="1" x14ac:dyDescent="0.3">
      <c r="A11" s="34">
        <v>10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>
        <v>3637</v>
      </c>
      <c r="P11" s="35"/>
      <c r="Q11" s="35"/>
      <c r="R11" s="35">
        <f>205-3.5</f>
        <v>201.5</v>
      </c>
      <c r="S11" s="35"/>
      <c r="T11" s="35">
        <f>205-3.5</f>
        <v>201.5</v>
      </c>
      <c r="U11" s="35"/>
      <c r="V11" s="35"/>
      <c r="W11" s="35"/>
      <c r="X11" s="35"/>
      <c r="Y11" s="35"/>
      <c r="Z11" s="35"/>
      <c r="AA11" s="35"/>
      <c r="AB11" s="36"/>
      <c r="AC11" s="35">
        <f t="shared" si="0"/>
        <v>4040</v>
      </c>
      <c r="AD11" s="35"/>
    </row>
    <row r="12" spans="1:30" ht="15" customHeight="1" x14ac:dyDescent="0.3">
      <c r="A12" s="34">
        <v>11</v>
      </c>
      <c r="B12" s="35"/>
      <c r="C12" s="35"/>
      <c r="D12" s="35">
        <v>15452.77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>
        <v>-52.65</v>
      </c>
      <c r="P12" s="35"/>
      <c r="Q12" s="35"/>
      <c r="R12" s="35">
        <f>709-15.08+920-6.49+396-1.39+347-11.65</f>
        <v>2337.39</v>
      </c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>
        <f t="shared" si="0"/>
        <v>17737.510000000002</v>
      </c>
      <c r="AD12" s="35"/>
    </row>
    <row r="13" spans="1:30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>
        <v>-545.54999999999995</v>
      </c>
      <c r="P13" s="35"/>
      <c r="Q13" s="35"/>
      <c r="R13" s="35">
        <f>404.98-7.36</f>
        <v>397.62</v>
      </c>
      <c r="S13" s="35"/>
      <c r="T13" s="35"/>
      <c r="U13" s="35">
        <f>5900-96.72</f>
        <v>5803.28</v>
      </c>
      <c r="V13" s="35"/>
      <c r="W13" s="35">
        <f>290-4.75</f>
        <v>285.25</v>
      </c>
      <c r="X13" s="35"/>
      <c r="Y13" s="35"/>
      <c r="Z13" s="35"/>
      <c r="AA13" s="35"/>
      <c r="AB13" s="36"/>
      <c r="AC13" s="35">
        <f t="shared" si="0"/>
        <v>5940.5999999999995</v>
      </c>
      <c r="AD13" s="35" t="s">
        <v>67</v>
      </c>
    </row>
    <row r="14" spans="1:30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>
        <f>2490-40.82</f>
        <v>2449.1799999999998</v>
      </c>
      <c r="R14" s="35"/>
      <c r="S14" s="35"/>
      <c r="T14" s="35"/>
      <c r="U14" s="35">
        <f>8725-143.03</f>
        <v>8581.9699999999993</v>
      </c>
      <c r="V14" s="35"/>
      <c r="W14" s="35"/>
      <c r="X14" s="35"/>
      <c r="Y14" s="35"/>
      <c r="Z14" s="35"/>
      <c r="AA14" s="35"/>
      <c r="AB14" s="36"/>
      <c r="AC14" s="35">
        <f t="shared" si="0"/>
        <v>11031.15</v>
      </c>
      <c r="AD14" s="35"/>
    </row>
    <row r="15" spans="1:30" ht="15" customHeight="1" x14ac:dyDescent="0.3">
      <c r="A15" s="34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35">
        <f t="shared" si="0"/>
        <v>0</v>
      </c>
      <c r="AD15" s="35"/>
    </row>
    <row r="16" spans="1:30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>
        <f>450-7.38</f>
        <v>442.62</v>
      </c>
      <c r="S16" s="35"/>
      <c r="T16" s="35"/>
      <c r="U16" s="35"/>
      <c r="V16" s="35"/>
      <c r="W16" s="35"/>
      <c r="X16" s="35">
        <v>215</v>
      </c>
      <c r="Y16" s="35"/>
      <c r="Z16" s="35"/>
      <c r="AA16" s="35"/>
      <c r="AB16" s="36"/>
      <c r="AC16" s="35">
        <f t="shared" si="0"/>
        <v>657.62</v>
      </c>
      <c r="AD16" s="35"/>
    </row>
    <row r="17" spans="1:30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>
        <f>682-11.38+1322-21.67+113-1.85</f>
        <v>2082.1</v>
      </c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>
        <f t="shared" si="0"/>
        <v>2082.1</v>
      </c>
      <c r="AD17" s="35"/>
    </row>
    <row r="18" spans="1:30" ht="15" customHeight="1" x14ac:dyDescent="0.3">
      <c r="A18" s="34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  <c r="AC18" s="35">
        <f t="shared" si="0"/>
        <v>0</v>
      </c>
      <c r="AD18" s="35"/>
    </row>
    <row r="19" spans="1:30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>
        <f>380-6.23</f>
        <v>373.77</v>
      </c>
      <c r="S19" s="35"/>
      <c r="T19" s="35"/>
      <c r="U19" s="35"/>
      <c r="V19" s="35"/>
      <c r="W19" s="35"/>
      <c r="X19" s="35"/>
      <c r="Y19" s="35"/>
      <c r="Z19" s="35"/>
      <c r="AA19" s="35"/>
      <c r="AB19" s="36"/>
      <c r="AC19" s="35">
        <f t="shared" si="0"/>
        <v>373.77</v>
      </c>
      <c r="AD19" s="35"/>
    </row>
    <row r="20" spans="1:30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>
        <f>106-1.74</f>
        <v>104.26</v>
      </c>
      <c r="S20" s="35"/>
      <c r="T20" s="35"/>
      <c r="U20" s="35"/>
      <c r="V20" s="35"/>
      <c r="W20" s="35"/>
      <c r="X20" s="35"/>
      <c r="Y20" s="35"/>
      <c r="Z20" s="35"/>
      <c r="AA20" s="35">
        <f>234+515-8.44-3.84</f>
        <v>736.71999999999991</v>
      </c>
      <c r="AB20" s="36"/>
      <c r="AC20" s="35">
        <f t="shared" si="0"/>
        <v>840.9799999999999</v>
      </c>
      <c r="AD20" s="35"/>
    </row>
    <row r="21" spans="1:30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>
        <f>858+498-15.6-8.92+136-2.23</f>
        <v>1465.25</v>
      </c>
      <c r="S21" s="35"/>
      <c r="T21" s="35"/>
      <c r="U21" s="35"/>
      <c r="V21" s="35"/>
      <c r="W21" s="35"/>
      <c r="X21" s="35"/>
      <c r="Y21" s="35"/>
      <c r="Z21" s="35"/>
      <c r="AA21" s="35"/>
      <c r="AB21" s="36"/>
      <c r="AC21" s="35">
        <f t="shared" si="0"/>
        <v>1465.25</v>
      </c>
      <c r="AD21" s="35"/>
    </row>
    <row r="22" spans="1:30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>
        <v>22127.68</v>
      </c>
      <c r="N22" s="35"/>
      <c r="O22" s="35"/>
      <c r="P22" s="35"/>
      <c r="Q22" s="35"/>
      <c r="R22" s="35">
        <f>524+414-8.59-7.21</f>
        <v>922.19999999999993</v>
      </c>
      <c r="S22" s="35"/>
      <c r="T22" s="35"/>
      <c r="U22" s="35"/>
      <c r="V22" s="35"/>
      <c r="W22" s="35"/>
      <c r="X22" s="35"/>
      <c r="Y22" s="35"/>
      <c r="Z22" s="35">
        <v>500</v>
      </c>
      <c r="AA22" s="35"/>
      <c r="AB22" s="36"/>
      <c r="AC22" s="35">
        <f t="shared" si="0"/>
        <v>23549.88</v>
      </c>
      <c r="AD22" s="35" t="s">
        <v>68</v>
      </c>
    </row>
    <row r="23" spans="1:30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>
        <f>932.73+320.86-16.96-5.83</f>
        <v>1230.8000000000002</v>
      </c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5">
        <f t="shared" si="0"/>
        <v>1230.8000000000002</v>
      </c>
      <c r="AD23" s="35"/>
    </row>
    <row r="24" spans="1:30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>
        <v>3631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6"/>
      <c r="AC24" s="35">
        <f t="shared" si="0"/>
        <v>3631</v>
      </c>
      <c r="AD24" s="35"/>
    </row>
    <row r="25" spans="1:30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>
        <v>-544.65</v>
      </c>
      <c r="P25" s="35"/>
      <c r="Q25" s="35"/>
      <c r="R25" s="35">
        <f>862-12.46+474-7.77</f>
        <v>1315.77</v>
      </c>
      <c r="S25" s="35"/>
      <c r="T25" s="35"/>
      <c r="U25" s="35"/>
      <c r="V25" s="35"/>
      <c r="W25" s="35">
        <f>1000-16.39</f>
        <v>983.61</v>
      </c>
      <c r="X25" s="35"/>
      <c r="Y25" s="35"/>
      <c r="Z25" s="35"/>
      <c r="AA25" s="35">
        <f>840-13.77</f>
        <v>826.23</v>
      </c>
      <c r="AB25" s="36"/>
      <c r="AC25" s="35">
        <f t="shared" si="0"/>
        <v>2580.96</v>
      </c>
      <c r="AD25" s="35" t="s">
        <v>69</v>
      </c>
    </row>
    <row r="26" spans="1:30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>
        <f>606-13.14</f>
        <v>592.86</v>
      </c>
      <c r="S26" s="35">
        <v>150</v>
      </c>
      <c r="T26" s="35"/>
      <c r="U26" s="35"/>
      <c r="V26" s="35"/>
      <c r="W26" s="35"/>
      <c r="X26" s="35"/>
      <c r="Y26" s="35"/>
      <c r="Z26" s="35"/>
      <c r="AA26" s="35"/>
      <c r="AB26" s="36"/>
      <c r="AC26" s="35">
        <f t="shared" si="0"/>
        <v>742.86</v>
      </c>
      <c r="AD26" s="35"/>
    </row>
    <row r="27" spans="1:30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>
        <f>759-12.98</f>
        <v>746.02</v>
      </c>
      <c r="S27" s="35"/>
      <c r="T27" s="35"/>
      <c r="U27" s="35"/>
      <c r="V27" s="35"/>
      <c r="W27" s="35"/>
      <c r="X27" s="35"/>
      <c r="Y27" s="35">
        <f>1810-29.67</f>
        <v>1780.33</v>
      </c>
      <c r="Z27" s="35"/>
      <c r="AA27" s="35"/>
      <c r="AB27" s="36"/>
      <c r="AC27" s="35">
        <f t="shared" si="0"/>
        <v>2526.35</v>
      </c>
      <c r="AD27" s="35" t="s">
        <v>70</v>
      </c>
    </row>
    <row r="28" spans="1:30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>
        <f>662-10.86</f>
        <v>651.14</v>
      </c>
      <c r="S28" s="35"/>
      <c r="T28" s="35"/>
      <c r="U28" s="35"/>
      <c r="V28" s="35"/>
      <c r="W28" s="35"/>
      <c r="X28" s="35"/>
      <c r="Y28" s="35"/>
      <c r="Z28" s="35"/>
      <c r="AA28" s="35"/>
      <c r="AB28" s="36"/>
      <c r="AC28" s="35">
        <f t="shared" si="0"/>
        <v>651.14</v>
      </c>
      <c r="AD28" s="35"/>
    </row>
    <row r="29" spans="1:30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>
        <f>444-6.38+248-4.07</f>
        <v>681.55</v>
      </c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35">
        <f t="shared" si="0"/>
        <v>681.55</v>
      </c>
      <c r="AD29" s="35"/>
    </row>
    <row r="30" spans="1:30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>
        <f>671.07-12.2+545-8.94</f>
        <v>1194.9299999999998</v>
      </c>
      <c r="S30" s="35"/>
      <c r="T30" s="35"/>
      <c r="U30" s="35"/>
      <c r="V30" s="35"/>
      <c r="W30" s="35"/>
      <c r="X30" s="35"/>
      <c r="Y30" s="35"/>
      <c r="Z30" s="35"/>
      <c r="AA30" s="35"/>
      <c r="AB30" s="36"/>
      <c r="AC30" s="35">
        <f t="shared" si="0"/>
        <v>1194.9299999999998</v>
      </c>
      <c r="AD30" s="35"/>
    </row>
    <row r="31" spans="1:30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35">
        <f t="shared" si="0"/>
        <v>0</v>
      </c>
      <c r="AD31" s="35"/>
    </row>
    <row r="32" spans="1:30" ht="15" customHeight="1" x14ac:dyDescent="0.3">
      <c r="A32" s="34">
        <v>31</v>
      </c>
      <c r="B32" s="35">
        <v>0</v>
      </c>
      <c r="C32" s="35">
        <v>0</v>
      </c>
      <c r="D32" s="35"/>
      <c r="E32" s="35"/>
      <c r="F32" s="35"/>
      <c r="G32" s="35"/>
      <c r="H32" s="35"/>
      <c r="I32" s="35"/>
      <c r="J32" s="35"/>
      <c r="K32" s="35">
        <v>0</v>
      </c>
      <c r="L32" s="35"/>
      <c r="M32" s="35"/>
      <c r="N32" s="35"/>
      <c r="O32" s="35"/>
      <c r="P32" s="35">
        <v>0</v>
      </c>
      <c r="Q32" s="35"/>
      <c r="R32" s="35"/>
      <c r="S32" s="35">
        <v>661</v>
      </c>
      <c r="T32" s="35"/>
      <c r="U32" s="35"/>
      <c r="V32" s="35">
        <v>0</v>
      </c>
      <c r="W32" s="35"/>
      <c r="X32" s="35"/>
      <c r="Y32" s="35"/>
      <c r="Z32" s="35"/>
      <c r="AA32" s="35"/>
      <c r="AB32" s="36"/>
      <c r="AC32" s="35">
        <f t="shared" si="0"/>
        <v>661</v>
      </c>
      <c r="AD32" s="35"/>
    </row>
    <row r="33" spans="1:30" ht="15" customHeight="1" x14ac:dyDescent="0.3">
      <c r="A33" s="12" t="s">
        <v>53</v>
      </c>
      <c r="B33" s="12">
        <f t="shared" ref="B33:AC33" si="1">IF(COUNTA(B2:B32)&gt;0,SUM(B2:B32),"")</f>
        <v>0</v>
      </c>
      <c r="C33" s="12">
        <f t="shared" si="1"/>
        <v>0</v>
      </c>
      <c r="D33" s="12">
        <f t="shared" si="1"/>
        <v>15452.77</v>
      </c>
      <c r="E33" s="12">
        <f t="shared" si="1"/>
        <v>10570</v>
      </c>
      <c r="F33" s="12">
        <f t="shared" si="1"/>
        <v>26054</v>
      </c>
      <c r="G33" s="12">
        <f t="shared" si="1"/>
        <v>980</v>
      </c>
      <c r="H33" s="12">
        <f t="shared" si="1"/>
        <v>3291.56</v>
      </c>
      <c r="I33" s="12">
        <f t="shared" si="1"/>
        <v>2144.2600000000002</v>
      </c>
      <c r="J33" s="12">
        <f t="shared" si="1"/>
        <v>700</v>
      </c>
      <c r="K33" s="12">
        <f t="shared" si="1"/>
        <v>0</v>
      </c>
      <c r="L33" s="12">
        <f t="shared" si="1"/>
        <v>18082.010000000002</v>
      </c>
      <c r="M33" s="12">
        <f t="shared" si="1"/>
        <v>22127.68</v>
      </c>
      <c r="N33" s="12">
        <f t="shared" si="1"/>
        <v>810</v>
      </c>
      <c r="O33" s="12">
        <f t="shared" si="1"/>
        <v>8780.76</v>
      </c>
      <c r="P33" s="12">
        <f t="shared" si="1"/>
        <v>0</v>
      </c>
      <c r="Q33" s="12">
        <f t="shared" si="1"/>
        <v>2449.1799999999998</v>
      </c>
      <c r="R33" s="12">
        <f t="shared" si="1"/>
        <v>19619.210000000003</v>
      </c>
      <c r="S33" s="12">
        <f t="shared" si="1"/>
        <v>811</v>
      </c>
      <c r="T33" s="12">
        <f t="shared" si="1"/>
        <v>3261.5</v>
      </c>
      <c r="U33" s="12">
        <f t="shared" si="1"/>
        <v>14385.25</v>
      </c>
      <c r="V33" s="12">
        <f t="shared" si="1"/>
        <v>0</v>
      </c>
      <c r="W33" s="12">
        <f t="shared" si="1"/>
        <v>1268.8600000000001</v>
      </c>
      <c r="X33" s="12">
        <f t="shared" si="1"/>
        <v>709.08999999999992</v>
      </c>
      <c r="Y33" s="12">
        <f t="shared" si="1"/>
        <v>1780.33</v>
      </c>
      <c r="Z33" s="12">
        <f t="shared" si="1"/>
        <v>500</v>
      </c>
      <c r="AA33" s="12">
        <f t="shared" si="1"/>
        <v>4705.57</v>
      </c>
      <c r="AB33" s="38" t="str">
        <f t="shared" si="1"/>
        <v/>
      </c>
      <c r="AC33" s="12">
        <f t="shared" si="1"/>
        <v>158483.02999999997</v>
      </c>
      <c r="AD33" s="3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2"/>
  <sheetViews>
    <sheetView zoomScaleNormal="100" workbookViewId="0">
      <selection activeCell="A11" sqref="A11"/>
    </sheetView>
  </sheetViews>
  <sheetFormatPr baseColWidth="10" defaultColWidth="10.6640625" defaultRowHeight="14.4" x14ac:dyDescent="0.3"/>
  <cols>
    <col min="1" max="1" width="8" customWidth="1"/>
    <col min="2" max="3" width="13" customWidth="1"/>
    <col min="4" max="4" width="16.33203125" customWidth="1"/>
    <col min="5" max="9" width="13" customWidth="1"/>
    <col min="10" max="11" width="15.88671875" customWidth="1"/>
    <col min="12" max="12" width="16" customWidth="1"/>
    <col min="13" max="13" width="21.33203125" customWidth="1"/>
    <col min="14" max="14" width="13" customWidth="1"/>
    <col min="15" max="15" width="13.88671875" customWidth="1"/>
    <col min="16" max="20" width="13" customWidth="1"/>
    <col min="21" max="21" width="20.33203125" customWidth="1"/>
    <col min="22" max="23" width="13" customWidth="1"/>
    <col min="24" max="24" width="21" customWidth="1"/>
    <col min="25" max="25" width="13" customWidth="1"/>
    <col min="26" max="27" width="21.44140625" customWidth="1"/>
    <col min="28" max="28" width="13" customWidth="1"/>
    <col min="29" max="29" width="14" customWidth="1"/>
    <col min="30" max="30" width="25" customWidth="1"/>
    <col min="31" max="31" width="28.6640625" bestFit="1" customWidth="1"/>
  </cols>
  <sheetData>
    <row r="1" spans="1:31" ht="28.5" customHeight="1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71</v>
      </c>
      <c r="AA1" s="33" t="s">
        <v>26</v>
      </c>
      <c r="AB1" s="33" t="s">
        <v>27</v>
      </c>
      <c r="AC1" s="2" t="s">
        <v>28</v>
      </c>
      <c r="AD1" s="33" t="s">
        <v>29</v>
      </c>
      <c r="AE1" s="33" t="s">
        <v>64</v>
      </c>
    </row>
    <row r="2" spans="1:31" ht="15" customHeight="1" x14ac:dyDescent="0.3">
      <c r="A2" s="34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>
        <f>2604.85+606-9.93+408+237-0.84+423-6.93+504-8.26+1702-24.55</f>
        <v>6434.3399999999992</v>
      </c>
      <c r="S2" s="35"/>
      <c r="T2" s="35"/>
      <c r="U2" s="35"/>
      <c r="V2" s="35"/>
      <c r="W2" s="35"/>
      <c r="X2" s="35"/>
      <c r="Y2" s="35"/>
      <c r="Z2" s="35"/>
      <c r="AA2" s="35"/>
      <c r="AB2" s="35">
        <f>208-3.41</f>
        <v>204.59</v>
      </c>
      <c r="AC2" s="36"/>
      <c r="AD2" s="35">
        <f t="shared" ref="AD2:AD31" si="0">SUM(B2:AB2)</f>
        <v>6638.9299999999994</v>
      </c>
      <c r="AE2" s="35" t="s">
        <v>72</v>
      </c>
    </row>
    <row r="3" spans="1:31" ht="15" customHeight="1" x14ac:dyDescent="0.3">
      <c r="A3" s="34">
        <v>2</v>
      </c>
      <c r="B3" s="35"/>
      <c r="C3" s="35"/>
      <c r="D3" s="35"/>
      <c r="E3" s="40">
        <v>10990.82</v>
      </c>
      <c r="F3" s="35"/>
      <c r="G3" s="35"/>
      <c r="H3" s="35">
        <f>3327-35.44</f>
        <v>3291.56</v>
      </c>
      <c r="I3" s="35">
        <f>2889-47.35</f>
        <v>2841.65</v>
      </c>
      <c r="J3" s="35"/>
      <c r="K3" s="35"/>
      <c r="L3" s="35"/>
      <c r="M3" s="35"/>
      <c r="N3" s="35"/>
      <c r="O3" s="35"/>
      <c r="P3" s="35"/>
      <c r="Q3" s="35"/>
      <c r="R3" s="35">
        <f>398-6.52</f>
        <v>391.48</v>
      </c>
      <c r="S3" s="35"/>
      <c r="T3" s="35"/>
      <c r="U3" s="35"/>
      <c r="V3" s="35"/>
      <c r="W3" s="35"/>
      <c r="X3" s="35"/>
      <c r="Y3" s="35"/>
      <c r="Z3" s="35"/>
      <c r="AA3" s="35"/>
      <c r="AB3" s="35"/>
      <c r="AC3" s="36"/>
      <c r="AD3" s="35">
        <f t="shared" si="0"/>
        <v>17515.509999999998</v>
      </c>
      <c r="AE3" s="35"/>
    </row>
    <row r="4" spans="1:31" ht="15" customHeight="1" x14ac:dyDescent="0.3">
      <c r="A4" s="34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>
        <f>640-11.03</f>
        <v>628.97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6"/>
      <c r="AD4" s="35">
        <f t="shared" si="0"/>
        <v>628.97</v>
      </c>
      <c r="AE4" s="35"/>
    </row>
    <row r="5" spans="1:31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>
        <f>405-7.18</f>
        <v>397.82</v>
      </c>
      <c r="S5" s="35"/>
      <c r="T5" s="35"/>
      <c r="U5" s="35"/>
      <c r="V5" s="35"/>
      <c r="W5" s="35"/>
      <c r="X5" s="35"/>
      <c r="Y5" s="35"/>
      <c r="Z5" s="35"/>
      <c r="AA5" s="35"/>
      <c r="AB5" s="35">
        <f>980+500+256-8.2-4.2</f>
        <v>1723.6</v>
      </c>
      <c r="AC5" s="36"/>
      <c r="AD5" s="35">
        <f t="shared" si="0"/>
        <v>2121.42</v>
      </c>
      <c r="AE5" s="35" t="s">
        <v>73</v>
      </c>
    </row>
    <row r="6" spans="1:31" ht="15" customHeight="1" x14ac:dyDescent="0.3">
      <c r="A6" s="34">
        <v>5</v>
      </c>
      <c r="B6" s="35"/>
      <c r="C6" s="35"/>
      <c r="D6" s="35"/>
      <c r="E6" s="35"/>
      <c r="F6" s="40">
        <v>17944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>
        <f>550+431-7.53+550+459-7.72-10-7.5</f>
        <v>1957.25</v>
      </c>
      <c r="S6" s="35"/>
      <c r="T6" s="35"/>
      <c r="U6" s="35"/>
      <c r="V6" s="35"/>
      <c r="W6" s="35"/>
      <c r="X6" s="35"/>
      <c r="Y6" s="35"/>
      <c r="Z6" s="35"/>
      <c r="AA6" s="35"/>
      <c r="AB6" s="35">
        <f>99-1.62</f>
        <v>97.38</v>
      </c>
      <c r="AC6" s="36"/>
      <c r="AD6" s="35">
        <f t="shared" si="0"/>
        <v>19998.63</v>
      </c>
      <c r="AE6" s="35" t="s">
        <v>74</v>
      </c>
    </row>
    <row r="7" spans="1:31" ht="15" customHeight="1" x14ac:dyDescent="0.3">
      <c r="A7" s="34">
        <v>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35">
        <f t="shared" si="0"/>
        <v>0</v>
      </c>
      <c r="AE7" s="35"/>
    </row>
    <row r="8" spans="1:31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40">
        <f>670.25+634.43</f>
        <v>1304.6799999999998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6"/>
      <c r="AD8" s="35">
        <f t="shared" si="0"/>
        <v>1304.6799999999998</v>
      </c>
      <c r="AE8" s="35"/>
    </row>
    <row r="9" spans="1:31" ht="15" customHeight="1" x14ac:dyDescent="0.3">
      <c r="A9" s="34">
        <v>8</v>
      </c>
      <c r="B9" s="35"/>
      <c r="C9" s="35"/>
      <c r="D9" s="35"/>
      <c r="E9" s="35"/>
      <c r="F9" s="35"/>
      <c r="G9" s="35"/>
      <c r="H9" s="35"/>
      <c r="I9" s="35"/>
      <c r="J9" s="35"/>
      <c r="K9" s="35">
        <f>1290.7-4.51</f>
        <v>1286.19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>
        <v>2900</v>
      </c>
      <c r="AC9" s="36"/>
      <c r="AD9" s="35">
        <f t="shared" si="0"/>
        <v>4186.1900000000005</v>
      </c>
      <c r="AE9" s="35" t="s">
        <v>75</v>
      </c>
    </row>
    <row r="10" spans="1:31" ht="15" customHeight="1" x14ac:dyDescent="0.3">
      <c r="A10" s="34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>
        <f>14136.35-4704+258.54</f>
        <v>9690.8900000000012</v>
      </c>
      <c r="M10" s="35"/>
      <c r="N10" s="35"/>
      <c r="O10" s="35"/>
      <c r="P10" s="35"/>
      <c r="Q10" s="35"/>
      <c r="R10" s="35">
        <f>582-9.99</f>
        <v>572.01</v>
      </c>
      <c r="S10" s="35"/>
      <c r="T10" s="35"/>
      <c r="U10" s="35"/>
      <c r="V10" s="35"/>
      <c r="W10" s="35"/>
      <c r="X10" s="35"/>
      <c r="Y10" s="35"/>
      <c r="Z10" s="35"/>
      <c r="AA10" s="35"/>
      <c r="AB10" s="35">
        <f>7700+4290-70.33</f>
        <v>11919.67</v>
      </c>
      <c r="AC10" s="36"/>
      <c r="AD10" s="35">
        <f t="shared" si="0"/>
        <v>22182.57</v>
      </c>
      <c r="AE10" s="35" t="s">
        <v>76</v>
      </c>
    </row>
    <row r="11" spans="1:31" ht="15" customHeight="1" x14ac:dyDescent="0.3">
      <c r="A11" s="34">
        <v>10</v>
      </c>
      <c r="B11" s="35"/>
      <c r="C11" s="35"/>
      <c r="D11" s="35">
        <v>15540.52</v>
      </c>
      <c r="E11" s="35"/>
      <c r="F11" s="35">
        <v>8110</v>
      </c>
      <c r="G11" s="35">
        <v>1015</v>
      </c>
      <c r="H11" s="35"/>
      <c r="I11" s="35"/>
      <c r="J11" s="35">
        <v>1000</v>
      </c>
      <c r="K11" s="35"/>
      <c r="L11" s="35"/>
      <c r="M11" s="35"/>
      <c r="N11" s="35">
        <v>810</v>
      </c>
      <c r="O11" s="35"/>
      <c r="P11" s="35">
        <v>1800</v>
      </c>
      <c r="Q11" s="35"/>
      <c r="R11" s="35">
        <f>560-9.86</f>
        <v>550.14</v>
      </c>
      <c r="S11" s="35">
        <f>281-4.61</f>
        <v>276.39</v>
      </c>
      <c r="T11" s="35"/>
      <c r="U11" s="35"/>
      <c r="V11" s="35"/>
      <c r="W11" s="35"/>
      <c r="X11" s="35"/>
      <c r="Y11" s="35"/>
      <c r="Z11" s="35"/>
      <c r="AA11" s="35"/>
      <c r="AB11" s="35"/>
      <c r="AC11" s="36"/>
      <c r="AD11" s="35">
        <f t="shared" si="0"/>
        <v>29102.05</v>
      </c>
      <c r="AE11" s="35"/>
    </row>
    <row r="12" spans="1:31" ht="15" customHeight="1" x14ac:dyDescent="0.3">
      <c r="A12" s="34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>
        <v>21668.69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6">
        <f>990-16.23</f>
        <v>973.77</v>
      </c>
      <c r="AD12" s="35">
        <f t="shared" si="0"/>
        <v>21668.69</v>
      </c>
      <c r="AE12" s="35"/>
    </row>
    <row r="13" spans="1:31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>
        <f>817.79+327-14.87-5.64+428-19.04</f>
        <v>1533.24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6"/>
      <c r="AD13" s="35">
        <f t="shared" si="0"/>
        <v>1533.24</v>
      </c>
      <c r="AE13" s="35"/>
    </row>
    <row r="14" spans="1:31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>
        <v>215</v>
      </c>
      <c r="Y14" s="35">
        <f>30-0.49</f>
        <v>29.51</v>
      </c>
      <c r="Z14" s="35"/>
      <c r="AA14" s="35"/>
      <c r="AB14" s="35"/>
      <c r="AC14" s="36">
        <v>500</v>
      </c>
      <c r="AD14" s="35">
        <f t="shared" si="0"/>
        <v>244.51</v>
      </c>
      <c r="AE14" s="35" t="s">
        <v>77</v>
      </c>
    </row>
    <row r="15" spans="1:31" ht="15" customHeight="1" x14ac:dyDescent="0.3">
      <c r="A15" s="34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>
        <f>685-11.82</f>
        <v>673.18</v>
      </c>
      <c r="S15" s="35"/>
      <c r="T15" s="35"/>
      <c r="U15" s="35"/>
      <c r="V15" s="35"/>
      <c r="W15" s="35"/>
      <c r="X15" s="35"/>
      <c r="Y15" s="35">
        <v>690</v>
      </c>
      <c r="Z15" s="35"/>
      <c r="AA15" s="35"/>
      <c r="AB15" s="35"/>
      <c r="AC15" s="36">
        <f>1515-24+84+701-11.49</f>
        <v>2264.5100000000002</v>
      </c>
      <c r="AD15" s="35">
        <f t="shared" si="0"/>
        <v>1363.1799999999998</v>
      </c>
      <c r="AE15" s="35" t="s">
        <v>78</v>
      </c>
    </row>
    <row r="16" spans="1:31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>
        <f>1917.73-7.02+388</f>
        <v>2298.71</v>
      </c>
      <c r="S16" s="35">
        <f>1135-33.19</f>
        <v>1101.81</v>
      </c>
      <c r="T16" s="35"/>
      <c r="U16" s="35"/>
      <c r="V16" s="35"/>
      <c r="W16" s="35"/>
      <c r="X16" s="35"/>
      <c r="Y16" s="35"/>
      <c r="Z16" s="35"/>
      <c r="AA16" s="35"/>
      <c r="AB16" s="35"/>
      <c r="AC16" s="36"/>
      <c r="AD16" s="35">
        <f t="shared" si="0"/>
        <v>3400.52</v>
      </c>
      <c r="AE16" s="35"/>
    </row>
    <row r="17" spans="1:31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>
        <f>351.7+897+270-5.77-14.71-4.43</f>
        <v>1493.79</v>
      </c>
      <c r="S17" s="35"/>
      <c r="T17" s="35"/>
      <c r="U17" s="35"/>
      <c r="V17" s="35"/>
      <c r="W17" s="35"/>
      <c r="X17" s="35"/>
      <c r="Y17" s="35"/>
      <c r="Z17" s="35"/>
      <c r="AA17" s="35">
        <v>5500</v>
      </c>
      <c r="AB17" s="35"/>
      <c r="AC17" s="36"/>
      <c r="AD17" s="35">
        <f t="shared" si="0"/>
        <v>6993.79</v>
      </c>
      <c r="AE17" s="35"/>
    </row>
    <row r="18" spans="1:31" ht="15" customHeight="1" x14ac:dyDescent="0.3">
      <c r="A18" s="34">
        <v>17</v>
      </c>
      <c r="B18" s="35"/>
      <c r="C18" s="35"/>
      <c r="D18" s="35"/>
      <c r="E18" s="35"/>
      <c r="F18" s="35">
        <v>11378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>
        <f>1006-16.49</f>
        <v>989.51</v>
      </c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6"/>
      <c r="AD18" s="35">
        <f t="shared" si="0"/>
        <v>12367.51</v>
      </c>
      <c r="AE18" s="35"/>
    </row>
    <row r="19" spans="1:31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>
        <f>965+66+711-15.82-1.08-11.66</f>
        <v>1713.44</v>
      </c>
      <c r="Z19" s="35"/>
      <c r="AA19" s="35"/>
      <c r="AB19" s="35">
        <v>5000</v>
      </c>
      <c r="AC19" s="36"/>
      <c r="AD19" s="35">
        <f t="shared" si="0"/>
        <v>6713.4400000000005</v>
      </c>
      <c r="AE19" s="35" t="s">
        <v>79</v>
      </c>
    </row>
    <row r="20" spans="1:31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6"/>
      <c r="AD20" s="35">
        <f t="shared" si="0"/>
        <v>0</v>
      </c>
      <c r="AE20" s="35"/>
    </row>
    <row r="21" spans="1:31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>
        <v>1001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6"/>
      <c r="AD21" s="35">
        <f t="shared" si="0"/>
        <v>1001</v>
      </c>
      <c r="AE21" s="35"/>
    </row>
    <row r="22" spans="1:31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>
        <v>-196.6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6">
        <f>1780-29.18+462-8.26+394-6.46+815-13.36+983+370-6.07+1052+1264-21.22+909-14.9+2461-40.34+1500-24.59+1250</f>
        <v>13075.619999999999</v>
      </c>
      <c r="AD22" s="35">
        <f t="shared" si="0"/>
        <v>-196.6</v>
      </c>
      <c r="AE22" s="35"/>
    </row>
    <row r="23" spans="1:31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6"/>
      <c r="AD23" s="35">
        <f t="shared" si="0"/>
        <v>0</v>
      </c>
      <c r="AE23" s="35"/>
    </row>
    <row r="24" spans="1:31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6"/>
      <c r="AD24" s="35">
        <f t="shared" si="0"/>
        <v>0</v>
      </c>
      <c r="AE24" s="35"/>
    </row>
    <row r="25" spans="1:31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>
        <f>1340.91-S25-22.9</f>
        <v>401.0100000000001</v>
      </c>
      <c r="S25" s="35">
        <v>917</v>
      </c>
      <c r="T25" s="35"/>
      <c r="U25" s="35"/>
      <c r="V25" s="35"/>
      <c r="W25" s="35"/>
      <c r="X25" s="35"/>
      <c r="Y25" s="35"/>
      <c r="Z25" s="35"/>
      <c r="AA25" s="35"/>
      <c r="AB25" s="35"/>
      <c r="AC25" s="36">
        <v>509</v>
      </c>
      <c r="AD25" s="35">
        <f t="shared" si="0"/>
        <v>1318.0100000000002</v>
      </c>
      <c r="AE25" s="35"/>
    </row>
    <row r="26" spans="1:31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6"/>
      <c r="AD26" s="35">
        <f t="shared" si="0"/>
        <v>0</v>
      </c>
      <c r="AE26" s="35"/>
    </row>
    <row r="27" spans="1:31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6"/>
      <c r="AD27" s="35">
        <f t="shared" si="0"/>
        <v>0</v>
      </c>
      <c r="AE27" s="35"/>
    </row>
    <row r="28" spans="1:31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6"/>
      <c r="AD28" s="35">
        <f t="shared" si="0"/>
        <v>0</v>
      </c>
      <c r="AE28" s="35"/>
    </row>
    <row r="29" spans="1:31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6"/>
      <c r="AD29" s="35">
        <f t="shared" si="0"/>
        <v>0</v>
      </c>
      <c r="AE29" s="35"/>
    </row>
    <row r="30" spans="1:31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6"/>
      <c r="AD30" s="35">
        <f t="shared" si="0"/>
        <v>0</v>
      </c>
      <c r="AE30" s="35"/>
    </row>
    <row r="31" spans="1:31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6"/>
      <c r="AD31" s="35">
        <f t="shared" si="0"/>
        <v>0</v>
      </c>
      <c r="AE31" s="35"/>
    </row>
    <row r="32" spans="1:31" ht="15" customHeight="1" x14ac:dyDescent="0.3">
      <c r="A32" s="12" t="s">
        <v>53</v>
      </c>
      <c r="B32" s="12" t="str">
        <f t="shared" ref="B32:AD32" si="1">IF(COUNTA(B2:B31)&gt;0,SUM(B2:B31),"")</f>
        <v/>
      </c>
      <c r="C32" s="12" t="str">
        <f t="shared" si="1"/>
        <v/>
      </c>
      <c r="D32" s="12">
        <f t="shared" si="1"/>
        <v>15540.52</v>
      </c>
      <c r="E32" s="12">
        <f t="shared" si="1"/>
        <v>10990.82</v>
      </c>
      <c r="F32" s="12">
        <f t="shared" si="1"/>
        <v>37432</v>
      </c>
      <c r="G32" s="12">
        <f t="shared" si="1"/>
        <v>1015</v>
      </c>
      <c r="H32" s="12">
        <f t="shared" si="1"/>
        <v>3291.56</v>
      </c>
      <c r="I32" s="12">
        <f t="shared" si="1"/>
        <v>2841.65</v>
      </c>
      <c r="J32" s="12">
        <f t="shared" si="1"/>
        <v>1000</v>
      </c>
      <c r="K32" s="12">
        <f t="shared" si="1"/>
        <v>1286.19</v>
      </c>
      <c r="L32" s="12">
        <f t="shared" si="1"/>
        <v>9690.8900000000012</v>
      </c>
      <c r="M32" s="12">
        <f t="shared" si="1"/>
        <v>21668.69</v>
      </c>
      <c r="N32" s="12">
        <f t="shared" si="1"/>
        <v>810</v>
      </c>
      <c r="O32" s="12">
        <f t="shared" si="1"/>
        <v>804.4</v>
      </c>
      <c r="P32" s="12">
        <f t="shared" si="1"/>
        <v>1800</v>
      </c>
      <c r="Q32" s="12" t="str">
        <f t="shared" si="1"/>
        <v/>
      </c>
      <c r="R32" s="12">
        <f t="shared" si="1"/>
        <v>19626.129999999997</v>
      </c>
      <c r="S32" s="12">
        <f t="shared" si="1"/>
        <v>2295.1999999999998</v>
      </c>
      <c r="T32" s="12" t="str">
        <f t="shared" si="1"/>
        <v/>
      </c>
      <c r="U32" s="12" t="str">
        <f t="shared" si="1"/>
        <v/>
      </c>
      <c r="V32" s="12" t="str">
        <f t="shared" si="1"/>
        <v/>
      </c>
      <c r="W32" s="12" t="str">
        <f t="shared" si="1"/>
        <v/>
      </c>
      <c r="X32" s="12">
        <f t="shared" si="1"/>
        <v>215</v>
      </c>
      <c r="Y32" s="12">
        <f t="shared" si="1"/>
        <v>2432.9499999999998</v>
      </c>
      <c r="Z32" s="12" t="str">
        <f t="shared" si="1"/>
        <v/>
      </c>
      <c r="AA32" s="12">
        <f>SUM(AA2:AA31)</f>
        <v>5500</v>
      </c>
      <c r="AB32" s="12">
        <f t="shared" si="1"/>
        <v>21845.239999999998</v>
      </c>
      <c r="AC32" s="38">
        <f t="shared" si="1"/>
        <v>17322.899999999998</v>
      </c>
      <c r="AD32" s="12">
        <f t="shared" si="1"/>
        <v>160086.24000000002</v>
      </c>
      <c r="AE32" s="3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3"/>
  <sheetViews>
    <sheetView zoomScaleNormal="100" workbookViewId="0">
      <selection activeCell="E27" sqref="E27"/>
    </sheetView>
  </sheetViews>
  <sheetFormatPr baseColWidth="10" defaultColWidth="10.6640625" defaultRowHeight="14.4" x14ac:dyDescent="0.3"/>
  <cols>
    <col min="1" max="1" width="8" customWidth="1"/>
    <col min="2" max="27" width="13" customWidth="1"/>
    <col min="28" max="28" width="14" customWidth="1"/>
    <col min="29" max="29" width="25" customWidth="1"/>
  </cols>
  <sheetData>
    <row r="1" spans="1:30" ht="39.75" customHeight="1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71</v>
      </c>
      <c r="AA1" s="33" t="s">
        <v>27</v>
      </c>
      <c r="AB1" s="2" t="s">
        <v>28</v>
      </c>
      <c r="AC1" s="33" t="s">
        <v>29</v>
      </c>
      <c r="AD1" s="33" t="s">
        <v>64</v>
      </c>
    </row>
    <row r="2" spans="1:30" ht="15" customHeight="1" x14ac:dyDescent="0.3">
      <c r="A2" s="34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6"/>
      <c r="AC2" s="35">
        <f t="shared" ref="AC2:AC32" si="0">SUM(B2:AA2)</f>
        <v>0</v>
      </c>
      <c r="AD2" s="35"/>
    </row>
    <row r="3" spans="1:30" ht="15" customHeight="1" x14ac:dyDescent="0.3">
      <c r="A3" s="34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  <c r="AC3" s="35">
        <f t="shared" si="0"/>
        <v>0</v>
      </c>
      <c r="AD3" s="35"/>
    </row>
    <row r="4" spans="1:30" ht="15" customHeight="1" x14ac:dyDescent="0.3">
      <c r="A4" s="34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35">
        <f t="shared" si="0"/>
        <v>0</v>
      </c>
      <c r="AD4" s="35"/>
    </row>
    <row r="5" spans="1:30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35">
        <f t="shared" si="0"/>
        <v>0</v>
      </c>
      <c r="AD5" s="35"/>
    </row>
    <row r="6" spans="1:30" ht="15" customHeight="1" x14ac:dyDescent="0.3">
      <c r="A6" s="34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>
        <f t="shared" si="0"/>
        <v>0</v>
      </c>
      <c r="AD6" s="35"/>
    </row>
    <row r="7" spans="1:30" ht="15" customHeight="1" x14ac:dyDescent="0.3">
      <c r="A7" s="34">
        <v>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35">
        <f t="shared" si="0"/>
        <v>0</v>
      </c>
      <c r="AD7" s="35"/>
    </row>
    <row r="8" spans="1:30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>
        <f t="shared" si="0"/>
        <v>0</v>
      </c>
      <c r="AD8" s="35"/>
    </row>
    <row r="9" spans="1:30" ht="15" customHeight="1" x14ac:dyDescent="0.3">
      <c r="A9" s="34">
        <v>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5">
        <f t="shared" si="0"/>
        <v>0</v>
      </c>
      <c r="AD9" s="35"/>
    </row>
    <row r="10" spans="1:30" ht="15" customHeight="1" x14ac:dyDescent="0.3">
      <c r="A10" s="34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5">
        <f t="shared" si="0"/>
        <v>0</v>
      </c>
      <c r="AD10" s="35"/>
    </row>
    <row r="11" spans="1:30" ht="15" customHeight="1" x14ac:dyDescent="0.3">
      <c r="A11" s="34">
        <v>10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5">
        <f t="shared" si="0"/>
        <v>0</v>
      </c>
      <c r="AD11" s="35"/>
    </row>
    <row r="12" spans="1:30" ht="15" customHeight="1" x14ac:dyDescent="0.3">
      <c r="A12" s="34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>
        <f t="shared" si="0"/>
        <v>0</v>
      </c>
      <c r="AD12" s="35"/>
    </row>
    <row r="13" spans="1:30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>
        <f t="shared" si="0"/>
        <v>0</v>
      </c>
      <c r="AD13" s="35"/>
    </row>
    <row r="14" spans="1:30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>
        <f t="shared" si="0"/>
        <v>0</v>
      </c>
      <c r="AD14" s="35"/>
    </row>
    <row r="15" spans="1:30" ht="15" customHeight="1" x14ac:dyDescent="0.3">
      <c r="A15" s="34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35">
        <f t="shared" si="0"/>
        <v>0</v>
      </c>
      <c r="AD15" s="35"/>
    </row>
    <row r="16" spans="1:30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6"/>
      <c r="AC16" s="35">
        <f t="shared" si="0"/>
        <v>0</v>
      </c>
      <c r="AD16" s="35"/>
    </row>
    <row r="17" spans="1:30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>
        <f t="shared" si="0"/>
        <v>0</v>
      </c>
      <c r="AD17" s="35"/>
    </row>
    <row r="18" spans="1:30" ht="15" customHeight="1" x14ac:dyDescent="0.3">
      <c r="A18" s="34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  <c r="AC18" s="35">
        <f t="shared" si="0"/>
        <v>0</v>
      </c>
      <c r="AD18" s="35"/>
    </row>
    <row r="19" spans="1:30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6"/>
      <c r="AC19" s="35">
        <f t="shared" si="0"/>
        <v>0</v>
      </c>
      <c r="AD19" s="35"/>
    </row>
    <row r="20" spans="1:30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6"/>
      <c r="AC20" s="35">
        <f t="shared" si="0"/>
        <v>0</v>
      </c>
      <c r="AD20" s="35"/>
    </row>
    <row r="21" spans="1:30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6"/>
      <c r="AC21" s="35">
        <f t="shared" si="0"/>
        <v>0</v>
      </c>
      <c r="AD21" s="35"/>
    </row>
    <row r="22" spans="1:30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5">
        <f t="shared" si="0"/>
        <v>0</v>
      </c>
      <c r="AD22" s="35"/>
    </row>
    <row r="23" spans="1:30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5">
        <f t="shared" si="0"/>
        <v>0</v>
      </c>
      <c r="AD23" s="35"/>
    </row>
    <row r="24" spans="1:30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6"/>
      <c r="AC24" s="35">
        <f t="shared" si="0"/>
        <v>0</v>
      </c>
      <c r="AD24" s="35"/>
    </row>
    <row r="25" spans="1:30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6"/>
      <c r="AC25" s="35">
        <f t="shared" si="0"/>
        <v>0</v>
      </c>
      <c r="AD25" s="35"/>
    </row>
    <row r="26" spans="1:30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6"/>
      <c r="AC26" s="35">
        <f t="shared" si="0"/>
        <v>0</v>
      </c>
      <c r="AD26" s="35"/>
    </row>
    <row r="27" spans="1:30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6"/>
      <c r="AC27" s="35">
        <f t="shared" si="0"/>
        <v>0</v>
      </c>
      <c r="AD27" s="35"/>
    </row>
    <row r="28" spans="1:30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6"/>
      <c r="AC28" s="35">
        <f t="shared" si="0"/>
        <v>0</v>
      </c>
      <c r="AD28" s="35"/>
    </row>
    <row r="29" spans="1:30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35">
        <f t="shared" si="0"/>
        <v>0</v>
      </c>
      <c r="AD29" s="35"/>
    </row>
    <row r="30" spans="1:30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6"/>
      <c r="AC30" s="35">
        <f t="shared" si="0"/>
        <v>0</v>
      </c>
      <c r="AD30" s="35"/>
    </row>
    <row r="31" spans="1:30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35">
        <f t="shared" si="0"/>
        <v>0</v>
      </c>
      <c r="AD31" s="35"/>
    </row>
    <row r="32" spans="1:30" ht="15" customHeight="1" x14ac:dyDescent="0.3">
      <c r="A32" s="34">
        <v>31</v>
      </c>
      <c r="B32" s="35"/>
      <c r="C32" s="35">
        <v>4369</v>
      </c>
      <c r="D32" s="35">
        <v>15600</v>
      </c>
      <c r="E32" s="35">
        <v>0</v>
      </c>
      <c r="F32" s="35">
        <v>26100</v>
      </c>
      <c r="G32" s="35">
        <v>1000</v>
      </c>
      <c r="H32" s="35">
        <v>3500</v>
      </c>
      <c r="I32" s="35">
        <v>3000</v>
      </c>
      <c r="J32" s="35">
        <v>1000</v>
      </c>
      <c r="K32" s="35">
        <v>17700</v>
      </c>
      <c r="L32" s="35">
        <v>7500</v>
      </c>
      <c r="M32" s="35">
        <v>7500</v>
      </c>
      <c r="N32" s="35">
        <v>850</v>
      </c>
      <c r="O32" s="35">
        <v>4400</v>
      </c>
      <c r="P32" s="35">
        <v>1800</v>
      </c>
      <c r="Q32" s="35">
        <v>2500</v>
      </c>
      <c r="R32" s="35">
        <v>20000</v>
      </c>
      <c r="S32" s="35">
        <v>2500</v>
      </c>
      <c r="T32" s="35">
        <v>5000</v>
      </c>
      <c r="U32" s="35"/>
      <c r="V32" s="35">
        <v>1500</v>
      </c>
      <c r="W32" s="35">
        <v>3000</v>
      </c>
      <c r="X32" s="35">
        <v>1500</v>
      </c>
      <c r="Y32" s="35">
        <v>2000</v>
      </c>
      <c r="Z32" s="35"/>
      <c r="AA32" s="35">
        <v>5000</v>
      </c>
      <c r="AB32" s="36"/>
      <c r="AC32" s="35">
        <f t="shared" si="0"/>
        <v>137319</v>
      </c>
      <c r="AD32" s="35"/>
    </row>
    <row r="33" spans="1:30" ht="15" customHeight="1" x14ac:dyDescent="0.3">
      <c r="A33" s="12" t="s">
        <v>53</v>
      </c>
      <c r="B33" s="12" t="str">
        <f t="shared" ref="B33:AC33" si="1">IF(COUNTA(B2:B32)&gt;0,SUM(B2:B32),"")</f>
        <v/>
      </c>
      <c r="C33" s="12">
        <f t="shared" si="1"/>
        <v>4369</v>
      </c>
      <c r="D33" s="12">
        <f t="shared" si="1"/>
        <v>15600</v>
      </c>
      <c r="E33" s="12">
        <f t="shared" si="1"/>
        <v>0</v>
      </c>
      <c r="F33" s="12">
        <f t="shared" si="1"/>
        <v>26100</v>
      </c>
      <c r="G33" s="12">
        <f t="shared" si="1"/>
        <v>1000</v>
      </c>
      <c r="H33" s="12">
        <f t="shared" si="1"/>
        <v>3500</v>
      </c>
      <c r="I33" s="12">
        <f t="shared" si="1"/>
        <v>3000</v>
      </c>
      <c r="J33" s="12">
        <f t="shared" si="1"/>
        <v>1000</v>
      </c>
      <c r="K33" s="12">
        <f t="shared" si="1"/>
        <v>17700</v>
      </c>
      <c r="L33" s="12">
        <f t="shared" si="1"/>
        <v>7500</v>
      </c>
      <c r="M33" s="12">
        <f t="shared" si="1"/>
        <v>7500</v>
      </c>
      <c r="N33" s="12">
        <f t="shared" si="1"/>
        <v>850</v>
      </c>
      <c r="O33" s="12">
        <f t="shared" si="1"/>
        <v>4400</v>
      </c>
      <c r="P33" s="12">
        <f t="shared" si="1"/>
        <v>1800</v>
      </c>
      <c r="Q33" s="12">
        <f t="shared" si="1"/>
        <v>2500</v>
      </c>
      <c r="R33" s="12">
        <f t="shared" si="1"/>
        <v>20000</v>
      </c>
      <c r="S33" s="12">
        <f t="shared" si="1"/>
        <v>2500</v>
      </c>
      <c r="T33" s="12">
        <f t="shared" si="1"/>
        <v>5000</v>
      </c>
      <c r="U33" s="12" t="str">
        <f t="shared" si="1"/>
        <v/>
      </c>
      <c r="V33" s="12">
        <f t="shared" si="1"/>
        <v>1500</v>
      </c>
      <c r="W33" s="12">
        <f t="shared" si="1"/>
        <v>3000</v>
      </c>
      <c r="X33" s="12">
        <f t="shared" si="1"/>
        <v>1500</v>
      </c>
      <c r="Y33" s="12">
        <f t="shared" si="1"/>
        <v>2000</v>
      </c>
      <c r="Z33" s="12" t="str">
        <f t="shared" si="1"/>
        <v/>
      </c>
      <c r="AA33" s="12">
        <f t="shared" si="1"/>
        <v>5000</v>
      </c>
      <c r="AB33" s="38" t="str">
        <f t="shared" si="1"/>
        <v/>
      </c>
      <c r="AC33" s="12">
        <f t="shared" si="1"/>
        <v>137319</v>
      </c>
      <c r="AD33" s="3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3"/>
  <sheetViews>
    <sheetView zoomScaleNormal="100" workbookViewId="0">
      <selection activeCell="A16" sqref="A16"/>
    </sheetView>
  </sheetViews>
  <sheetFormatPr baseColWidth="10" defaultColWidth="10.6640625" defaultRowHeight="14.4" x14ac:dyDescent="0.3"/>
  <cols>
    <col min="1" max="1" width="8" customWidth="1"/>
    <col min="2" max="3" width="13" customWidth="1"/>
    <col min="4" max="4" width="15.109375" bestFit="1" customWidth="1"/>
    <col min="5" max="6" width="13" customWidth="1"/>
    <col min="7" max="7" width="9" customWidth="1"/>
    <col min="8" max="8" width="9.33203125" bestFit="1" customWidth="1"/>
    <col min="9" max="9" width="8.44140625" customWidth="1"/>
    <col min="10" max="10" width="15.88671875" bestFit="1" customWidth="1"/>
    <col min="11" max="11" width="13.109375" bestFit="1" customWidth="1"/>
    <col min="12" max="12" width="14" bestFit="1" customWidth="1"/>
    <col min="13" max="13" width="21.33203125" bestFit="1" customWidth="1"/>
    <col min="14" max="14" width="13" customWidth="1"/>
    <col min="15" max="15" width="13.88671875" bestFit="1" customWidth="1"/>
    <col min="16" max="20" width="13" customWidth="1"/>
    <col min="21" max="21" width="20.33203125" bestFit="1" customWidth="1"/>
    <col min="22" max="23" width="13" customWidth="1"/>
    <col min="24" max="24" width="17.44140625" bestFit="1" customWidth="1"/>
    <col min="25" max="25" width="13" customWidth="1"/>
    <col min="26" max="26" width="15.109375" bestFit="1" customWidth="1"/>
    <col min="27" max="27" width="13" customWidth="1"/>
    <col min="28" max="28" width="14" customWidth="1"/>
    <col min="29" max="29" width="25" customWidth="1"/>
    <col min="30" max="30" width="17.6640625" bestFit="1" customWidth="1"/>
  </cols>
  <sheetData>
    <row r="1" spans="1:30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71</v>
      </c>
      <c r="AA1" s="33" t="s">
        <v>27</v>
      </c>
      <c r="AB1" s="2" t="s">
        <v>28</v>
      </c>
      <c r="AC1" s="33" t="s">
        <v>29</v>
      </c>
      <c r="AD1" s="33" t="s">
        <v>64</v>
      </c>
    </row>
    <row r="2" spans="1:30" ht="15" customHeight="1" x14ac:dyDescent="0.3">
      <c r="A2" s="34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6"/>
      <c r="AC2" s="35">
        <f t="shared" ref="AC2:AC32" si="0">SUM(B2:AA2)</f>
        <v>0</v>
      </c>
      <c r="AD2" s="35"/>
    </row>
    <row r="3" spans="1:30" ht="15" customHeight="1" x14ac:dyDescent="0.3">
      <c r="A3" s="34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>
        <f>194-3.53</f>
        <v>190.47</v>
      </c>
      <c r="S3" s="35"/>
      <c r="T3" s="35"/>
      <c r="U3" s="35"/>
      <c r="V3" s="35"/>
      <c r="W3" s="35"/>
      <c r="X3" s="35">
        <f>120.81+60.4</f>
        <v>181.21</v>
      </c>
      <c r="Y3" s="35"/>
      <c r="Z3" s="35"/>
      <c r="AA3" s="35"/>
      <c r="AB3" s="36"/>
      <c r="AC3" s="35">
        <f t="shared" si="0"/>
        <v>371.68</v>
      </c>
      <c r="AD3" s="35"/>
    </row>
    <row r="4" spans="1:30" ht="15" customHeight="1" x14ac:dyDescent="0.3">
      <c r="A4" s="34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>
        <f>500-8.19</f>
        <v>491.81</v>
      </c>
      <c r="P4" s="35"/>
      <c r="Q4" s="35"/>
      <c r="R4" s="35">
        <f>1047-17.83</f>
        <v>1029.17</v>
      </c>
      <c r="S4" s="35"/>
      <c r="T4" s="35"/>
      <c r="U4" s="35"/>
      <c r="V4" s="35"/>
      <c r="W4" s="35"/>
      <c r="X4" s="35"/>
      <c r="Y4" s="35"/>
      <c r="Z4" s="35"/>
      <c r="AA4" s="35"/>
      <c r="AB4" s="36"/>
      <c r="AC4" s="35">
        <f t="shared" si="0"/>
        <v>1520.98</v>
      </c>
      <c r="AD4" s="35"/>
    </row>
    <row r="5" spans="1:30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>
        <f>637.58+338-11.38-5.54+694-11.59</f>
        <v>1641.0700000000002</v>
      </c>
      <c r="S5" s="35"/>
      <c r="T5" s="35"/>
      <c r="U5" s="35"/>
      <c r="V5" s="35"/>
      <c r="W5" s="35"/>
      <c r="X5" s="35"/>
      <c r="Y5" s="35"/>
      <c r="Z5" s="35"/>
      <c r="AA5" s="35">
        <f>894-14.66</f>
        <v>879.34</v>
      </c>
      <c r="AB5" s="36"/>
      <c r="AC5" s="35">
        <f t="shared" si="0"/>
        <v>2520.4100000000003</v>
      </c>
      <c r="AD5" s="35" t="s">
        <v>80</v>
      </c>
    </row>
    <row r="6" spans="1:30" ht="15" customHeight="1" x14ac:dyDescent="0.3">
      <c r="A6" s="34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>
        <f>161-2.64</f>
        <v>158.36000000000001</v>
      </c>
      <c r="S6" s="35"/>
      <c r="T6" s="35"/>
      <c r="U6" s="35"/>
      <c r="V6" s="35"/>
      <c r="W6" s="35"/>
      <c r="X6" s="35"/>
      <c r="Y6" s="35"/>
      <c r="Z6" s="35"/>
      <c r="AA6" s="35"/>
      <c r="AB6" s="36"/>
      <c r="AC6" s="35">
        <f t="shared" si="0"/>
        <v>158.36000000000001</v>
      </c>
      <c r="AD6" s="35"/>
    </row>
    <row r="7" spans="1:30" ht="15" customHeight="1" x14ac:dyDescent="0.3">
      <c r="A7" s="34">
        <v>6</v>
      </c>
      <c r="B7" s="35"/>
      <c r="C7" s="35"/>
      <c r="D7" s="35"/>
      <c r="E7" s="35"/>
      <c r="F7" s="35">
        <v>19744</v>
      </c>
      <c r="G7" s="35">
        <v>1185</v>
      </c>
      <c r="H7" s="35">
        <f>3327-35.44</f>
        <v>3291.56</v>
      </c>
      <c r="I7" s="35">
        <f>3391-55.59</f>
        <v>3335.41</v>
      </c>
      <c r="J7" s="35"/>
      <c r="K7" s="35"/>
      <c r="L7" s="35">
        <f>256.98+13740.58</f>
        <v>13997.56</v>
      </c>
      <c r="M7" s="35"/>
      <c r="N7" s="35"/>
      <c r="O7" s="35"/>
      <c r="P7" s="35"/>
      <c r="Q7" s="35"/>
      <c r="R7" s="35">
        <f>170-2.57</f>
        <v>167.43</v>
      </c>
      <c r="S7" s="35"/>
      <c r="T7" s="35"/>
      <c r="U7" s="35"/>
      <c r="V7" s="35"/>
      <c r="W7" s="35"/>
      <c r="X7" s="35"/>
      <c r="Y7" s="35"/>
      <c r="Z7" s="35"/>
      <c r="AA7" s="35">
        <f>353-3.33</f>
        <v>349.67</v>
      </c>
      <c r="AB7" s="36"/>
      <c r="AC7" s="35">
        <f t="shared" si="0"/>
        <v>42070.63</v>
      </c>
      <c r="AD7" s="35" t="s">
        <v>81</v>
      </c>
    </row>
    <row r="8" spans="1:30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>
        <f t="shared" si="0"/>
        <v>0</v>
      </c>
      <c r="AD8" s="35"/>
    </row>
    <row r="9" spans="1:30" ht="15" customHeight="1" x14ac:dyDescent="0.3">
      <c r="A9" s="34">
        <v>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>
        <f>275-4.51</f>
        <v>270.49</v>
      </c>
      <c r="S9" s="35"/>
      <c r="T9" s="35">
        <f>303.5-4.98</f>
        <v>298.52</v>
      </c>
      <c r="U9" s="35"/>
      <c r="V9" s="35"/>
      <c r="W9" s="35"/>
      <c r="X9" s="35"/>
      <c r="Y9" s="35"/>
      <c r="Z9" s="35"/>
      <c r="AA9" s="35"/>
      <c r="AB9" s="36"/>
      <c r="AC9" s="35">
        <f t="shared" si="0"/>
        <v>569.01</v>
      </c>
      <c r="AD9" s="35"/>
    </row>
    <row r="10" spans="1:30" ht="15" customHeight="1" x14ac:dyDescent="0.3">
      <c r="A10" s="34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>
        <f>442+715-7.35-11.72-4.76+523-9.18+267</f>
        <v>1913.99</v>
      </c>
      <c r="S10" s="35"/>
      <c r="T10" s="35">
        <f>1107.87-18.16</f>
        <v>1089.7099999999998</v>
      </c>
      <c r="U10" s="35"/>
      <c r="V10" s="35"/>
      <c r="W10" s="35"/>
      <c r="X10" s="35"/>
      <c r="Y10" s="35"/>
      <c r="Z10" s="35"/>
      <c r="AA10" s="35"/>
      <c r="AB10" s="36"/>
      <c r="AC10" s="35">
        <f t="shared" si="0"/>
        <v>3003.7</v>
      </c>
      <c r="AD10" s="35"/>
    </row>
    <row r="11" spans="1:30" ht="15" customHeight="1" x14ac:dyDescent="0.3">
      <c r="A11" s="34">
        <v>10</v>
      </c>
      <c r="B11" s="35"/>
      <c r="C11" s="35"/>
      <c r="D11" s="35">
        <v>15691</v>
      </c>
      <c r="E11" s="35"/>
      <c r="F11" s="35">
        <v>8345</v>
      </c>
      <c r="G11" s="35"/>
      <c r="H11" s="35"/>
      <c r="I11" s="35"/>
      <c r="J11" s="35"/>
      <c r="K11" s="35">
        <v>17999.740000000002</v>
      </c>
      <c r="L11" s="35"/>
      <c r="M11" s="35">
        <v>19000</v>
      </c>
      <c r="N11" s="35"/>
      <c r="O11" s="35">
        <f>500-8.19</f>
        <v>491.81</v>
      </c>
      <c r="P11" s="35"/>
      <c r="Q11" s="35"/>
      <c r="R11" s="35">
        <v>303.5</v>
      </c>
      <c r="S11" s="35"/>
      <c r="T11" s="35">
        <v>494</v>
      </c>
      <c r="U11" s="35"/>
      <c r="V11" s="35"/>
      <c r="W11" s="35"/>
      <c r="X11" s="35"/>
      <c r="Y11" s="35"/>
      <c r="Z11" s="35"/>
      <c r="AA11" s="35"/>
      <c r="AB11" s="36"/>
      <c r="AC11" s="35">
        <f t="shared" si="0"/>
        <v>62325.05</v>
      </c>
      <c r="AD11" s="35"/>
    </row>
    <row r="12" spans="1:30" ht="15" customHeight="1" x14ac:dyDescent="0.3">
      <c r="A12" s="34">
        <v>11</v>
      </c>
      <c r="B12" s="35"/>
      <c r="C12" s="35"/>
      <c r="D12" s="35"/>
      <c r="E12" s="35"/>
      <c r="F12" s="35">
        <v>522</v>
      </c>
      <c r="G12" s="35"/>
      <c r="H12" s="35"/>
      <c r="I12" s="35"/>
      <c r="J12" s="35"/>
      <c r="K12" s="35"/>
      <c r="L12" s="35"/>
      <c r="M12" s="35"/>
      <c r="N12" s="35"/>
      <c r="O12" s="35">
        <v>3920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>
        <f t="shared" si="0"/>
        <v>4442</v>
      </c>
      <c r="AD12" s="35"/>
    </row>
    <row r="13" spans="1:30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>
        <v>-862.4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>
        <f t="shared" si="0"/>
        <v>-862.4</v>
      </c>
      <c r="AD13" s="35"/>
    </row>
    <row r="14" spans="1:30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>
        <v>700</v>
      </c>
      <c r="K14" s="35"/>
      <c r="L14" s="35"/>
      <c r="M14" s="35"/>
      <c r="N14" s="35">
        <v>810</v>
      </c>
      <c r="O14" s="35"/>
      <c r="P14" s="35">
        <v>1800</v>
      </c>
      <c r="Q14" s="35"/>
      <c r="R14" s="35">
        <v>650</v>
      </c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>
        <f t="shared" si="0"/>
        <v>3960</v>
      </c>
      <c r="AD14" s="35"/>
    </row>
    <row r="15" spans="1:30" ht="15" customHeight="1" x14ac:dyDescent="0.3">
      <c r="A15" s="34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>
        <f>945-15.49</f>
        <v>929.51</v>
      </c>
      <c r="S15" s="35"/>
      <c r="T15" s="35"/>
      <c r="U15" s="35"/>
      <c r="V15" s="35"/>
      <c r="W15" s="35"/>
      <c r="X15" s="35">
        <v>215</v>
      </c>
      <c r="Y15" s="35"/>
      <c r="Z15" s="35"/>
      <c r="AA15" s="35"/>
      <c r="AB15" s="36"/>
      <c r="AC15" s="35">
        <f t="shared" si="0"/>
        <v>1144.51</v>
      </c>
      <c r="AD15" s="35"/>
    </row>
    <row r="16" spans="1:30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>
        <f>858+235+873-15.74-63.3-3.85</f>
        <v>1883.1100000000001</v>
      </c>
      <c r="S16" s="35"/>
      <c r="T16" s="35"/>
      <c r="U16" s="35"/>
      <c r="V16" s="35"/>
      <c r="W16" s="35"/>
      <c r="X16" s="35"/>
      <c r="Y16" s="35">
        <f>760-12.46</f>
        <v>747.54</v>
      </c>
      <c r="Z16" s="35"/>
      <c r="AA16" s="35"/>
      <c r="AB16" s="36"/>
      <c r="AC16" s="35">
        <f t="shared" si="0"/>
        <v>2630.65</v>
      </c>
      <c r="AD16" s="35"/>
    </row>
    <row r="17" spans="1:30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>
        <f>513-8.41</f>
        <v>504.59</v>
      </c>
      <c r="S17" s="35"/>
      <c r="T17" s="35"/>
      <c r="U17" s="35"/>
      <c r="V17" s="35"/>
      <c r="W17" s="35"/>
      <c r="X17" s="35"/>
      <c r="Y17" s="35"/>
      <c r="Z17" s="35"/>
      <c r="AA17" s="35">
        <f>485-7.95</f>
        <v>477.05</v>
      </c>
      <c r="AB17" s="36"/>
      <c r="AC17" s="35">
        <f t="shared" si="0"/>
        <v>981.64</v>
      </c>
      <c r="AD17" s="35" t="s">
        <v>82</v>
      </c>
    </row>
    <row r="18" spans="1:30" ht="15" customHeight="1" x14ac:dyDescent="0.3">
      <c r="A18" s="34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41">
        <v>1584</v>
      </c>
      <c r="AB18" s="36"/>
      <c r="AC18" s="35">
        <f t="shared" si="0"/>
        <v>1584</v>
      </c>
      <c r="AD18" s="35" t="s">
        <v>83</v>
      </c>
    </row>
    <row r="19" spans="1:30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>
        <f>500-8.19</f>
        <v>491.81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>
        <f>352+470+353-8.54-5.6-3.33</f>
        <v>1157.5300000000002</v>
      </c>
      <c r="AB19" s="36"/>
      <c r="AC19" s="35">
        <f t="shared" si="0"/>
        <v>1649.3400000000001</v>
      </c>
      <c r="AD19" s="35" t="s">
        <v>84</v>
      </c>
    </row>
    <row r="20" spans="1:30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>
        <v>3900</v>
      </c>
      <c r="P20" s="35"/>
      <c r="Q20" s="35"/>
      <c r="R20" s="35">
        <f>1040.99-18.39</f>
        <v>1022.6</v>
      </c>
      <c r="S20" s="35">
        <f>874-15.88</f>
        <v>858.12</v>
      </c>
      <c r="T20" s="35"/>
      <c r="U20" s="35"/>
      <c r="V20" s="35"/>
      <c r="W20" s="35"/>
      <c r="X20" s="35"/>
      <c r="Y20" s="35"/>
      <c r="Z20" s="35"/>
      <c r="AA20" s="35">
        <f>281-4.61</f>
        <v>276.39</v>
      </c>
      <c r="AB20" s="36"/>
      <c r="AC20" s="35">
        <f t="shared" si="0"/>
        <v>6057.1100000000006</v>
      </c>
      <c r="AD20" s="35" t="s">
        <v>85</v>
      </c>
    </row>
    <row r="21" spans="1:30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>
        <v>-858</v>
      </c>
      <c r="P21" s="35"/>
      <c r="Q21" s="35"/>
      <c r="R21" s="35">
        <f>727-12.92</f>
        <v>714.08</v>
      </c>
      <c r="S21" s="35"/>
      <c r="T21" s="35">
        <f>70+1080-0.66+269.46-19.88+570-9.34</f>
        <v>1959.58</v>
      </c>
      <c r="U21" s="35"/>
      <c r="V21" s="35"/>
      <c r="W21" s="35"/>
      <c r="X21" s="35"/>
      <c r="Y21" s="35">
        <f>450-7.38</f>
        <v>442.62</v>
      </c>
      <c r="Z21" s="35"/>
      <c r="AA21" s="35"/>
      <c r="AB21" s="36"/>
      <c r="AC21" s="35">
        <f t="shared" si="0"/>
        <v>2258.2799999999997</v>
      </c>
      <c r="AD21" s="35" t="s">
        <v>86</v>
      </c>
    </row>
    <row r="22" spans="1:30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42">
        <v>150</v>
      </c>
      <c r="P22" s="35"/>
      <c r="Q22" s="35"/>
      <c r="R22" s="42">
        <v>800</v>
      </c>
      <c r="S22" s="42">
        <v>1600</v>
      </c>
      <c r="T22" s="35"/>
      <c r="U22" s="35"/>
      <c r="V22" s="35"/>
      <c r="W22" s="35"/>
      <c r="X22" s="35"/>
      <c r="Y22" s="35"/>
      <c r="Z22" s="35"/>
      <c r="AA22" s="42">
        <v>1150</v>
      </c>
      <c r="AB22" s="36"/>
      <c r="AC22" s="35">
        <f t="shared" si="0"/>
        <v>3700</v>
      </c>
      <c r="AD22" s="35" t="s">
        <v>87</v>
      </c>
    </row>
    <row r="23" spans="1:30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42">
        <v>2600</v>
      </c>
      <c r="P23" s="35"/>
      <c r="Q23" s="35"/>
      <c r="R23" s="42">
        <v>1500</v>
      </c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5">
        <f t="shared" si="0"/>
        <v>4100</v>
      </c>
      <c r="AD23" s="35"/>
    </row>
    <row r="24" spans="1:30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>
        <f>310-5.08</f>
        <v>304.92</v>
      </c>
      <c r="S24" s="35"/>
      <c r="T24" s="35"/>
      <c r="U24" s="35"/>
      <c r="V24" s="35"/>
      <c r="W24" s="35"/>
      <c r="X24" s="35"/>
      <c r="Y24" s="35"/>
      <c r="Z24" s="35"/>
      <c r="AA24" s="35"/>
      <c r="AB24" s="36"/>
      <c r="AC24" s="35">
        <f t="shared" si="0"/>
        <v>304.92</v>
      </c>
      <c r="AD24" s="35"/>
    </row>
    <row r="25" spans="1:30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6"/>
      <c r="AC25" s="35">
        <f t="shared" si="0"/>
        <v>0</v>
      </c>
      <c r="AD25" s="35"/>
    </row>
    <row r="26" spans="1:30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6"/>
      <c r="AC26" s="35">
        <f t="shared" si="0"/>
        <v>0</v>
      </c>
      <c r="AD26" s="35"/>
    </row>
    <row r="27" spans="1:30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>
        <f>1437.41+331+728-5.43-24.91-12.57</f>
        <v>2453.5</v>
      </c>
      <c r="S27" s="35"/>
      <c r="T27" s="35"/>
      <c r="U27" s="35"/>
      <c r="V27" s="35"/>
      <c r="W27" s="35"/>
      <c r="X27" s="35"/>
      <c r="Y27" s="35"/>
      <c r="Z27" s="35"/>
      <c r="AA27" s="35"/>
      <c r="AB27" s="36"/>
      <c r="AC27" s="35">
        <f t="shared" si="0"/>
        <v>2453.5</v>
      </c>
      <c r="AD27" s="35"/>
    </row>
    <row r="28" spans="1:30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>
        <f>117-1.92+399</f>
        <v>514.08000000000004</v>
      </c>
      <c r="AB28" s="36"/>
      <c r="AC28" s="35">
        <f t="shared" si="0"/>
        <v>514.08000000000004</v>
      </c>
      <c r="AD28" s="35" t="s">
        <v>88</v>
      </c>
    </row>
    <row r="29" spans="1:30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35">
        <f t="shared" si="0"/>
        <v>0</v>
      </c>
      <c r="AD29" s="35"/>
    </row>
    <row r="30" spans="1:30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6"/>
      <c r="AC30" s="35">
        <f t="shared" si="0"/>
        <v>0</v>
      </c>
      <c r="AD30" s="35"/>
    </row>
    <row r="31" spans="1:30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>
        <f>1000-16.39</f>
        <v>983.61</v>
      </c>
      <c r="P31" s="35"/>
      <c r="Q31" s="35"/>
      <c r="R31" s="35"/>
      <c r="S31" s="35"/>
      <c r="T31" s="35">
        <f>271+387-6.34+260</f>
        <v>911.66</v>
      </c>
      <c r="U31" s="35"/>
      <c r="V31" s="35"/>
      <c r="W31" s="35"/>
      <c r="X31" s="35"/>
      <c r="Y31" s="35"/>
      <c r="Z31" s="35"/>
      <c r="AA31" s="35"/>
      <c r="AB31" s="36"/>
      <c r="AC31" s="35">
        <f t="shared" si="0"/>
        <v>1895.27</v>
      </c>
      <c r="AD31" s="35"/>
    </row>
    <row r="32" spans="1:30" ht="15" customHeight="1" x14ac:dyDescent="0.3">
      <c r="A32" s="34">
        <v>31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>
        <v>2000</v>
      </c>
      <c r="P32" s="35"/>
      <c r="Q32" s="35"/>
      <c r="R32" s="35"/>
      <c r="S32" s="35"/>
      <c r="T32" s="35">
        <v>758</v>
      </c>
      <c r="U32" s="35">
        <v>0</v>
      </c>
      <c r="V32" s="35">
        <v>0</v>
      </c>
      <c r="W32" s="35"/>
      <c r="X32" s="35"/>
      <c r="Y32" s="35">
        <f>1860-31.08</f>
        <v>1828.92</v>
      </c>
      <c r="Z32" s="35"/>
      <c r="AA32" s="35"/>
      <c r="AB32" s="36"/>
      <c r="AC32" s="35">
        <f t="shared" si="0"/>
        <v>4586.92</v>
      </c>
      <c r="AD32" s="35"/>
    </row>
    <row r="33" spans="1:30" ht="15" customHeight="1" x14ac:dyDescent="0.3">
      <c r="A33" s="12" t="s">
        <v>53</v>
      </c>
      <c r="B33" s="12" t="str">
        <f t="shared" ref="B33:AC33" si="1">IF(COUNTA(B2:B32)&gt;0,SUM(B2:B32),"")</f>
        <v/>
      </c>
      <c r="C33" s="12" t="str">
        <f t="shared" si="1"/>
        <v/>
      </c>
      <c r="D33" s="12">
        <f t="shared" si="1"/>
        <v>15691</v>
      </c>
      <c r="E33" s="12" t="str">
        <f t="shared" si="1"/>
        <v/>
      </c>
      <c r="F33" s="12">
        <f t="shared" si="1"/>
        <v>28611</v>
      </c>
      <c r="G33" s="12">
        <f t="shared" si="1"/>
        <v>1185</v>
      </c>
      <c r="H33" s="12">
        <f t="shared" si="1"/>
        <v>3291.56</v>
      </c>
      <c r="I33" s="12">
        <f t="shared" si="1"/>
        <v>3335.41</v>
      </c>
      <c r="J33" s="12">
        <f t="shared" si="1"/>
        <v>700</v>
      </c>
      <c r="K33" s="12">
        <f t="shared" si="1"/>
        <v>17999.740000000002</v>
      </c>
      <c r="L33" s="12">
        <f t="shared" si="1"/>
        <v>13997.56</v>
      </c>
      <c r="M33" s="12">
        <f t="shared" si="1"/>
        <v>19000</v>
      </c>
      <c r="N33" s="12">
        <f t="shared" si="1"/>
        <v>810</v>
      </c>
      <c r="O33" s="12">
        <f t="shared" si="1"/>
        <v>13308.64</v>
      </c>
      <c r="P33" s="12">
        <f t="shared" si="1"/>
        <v>1800</v>
      </c>
      <c r="Q33" s="12" t="str">
        <f t="shared" si="1"/>
        <v/>
      </c>
      <c r="R33" s="12">
        <f t="shared" si="1"/>
        <v>16436.79</v>
      </c>
      <c r="S33" s="12">
        <f t="shared" si="1"/>
        <v>2458.12</v>
      </c>
      <c r="T33" s="12">
        <f t="shared" si="1"/>
        <v>5511.4699999999993</v>
      </c>
      <c r="U33" s="12">
        <f t="shared" si="1"/>
        <v>0</v>
      </c>
      <c r="V33" s="12">
        <f t="shared" si="1"/>
        <v>0</v>
      </c>
      <c r="W33" s="12" t="str">
        <f t="shared" si="1"/>
        <v/>
      </c>
      <c r="X33" s="12">
        <f t="shared" si="1"/>
        <v>396.21000000000004</v>
      </c>
      <c r="Y33" s="12">
        <f t="shared" si="1"/>
        <v>3019.08</v>
      </c>
      <c r="Z33" s="12" t="str">
        <f t="shared" si="1"/>
        <v/>
      </c>
      <c r="AA33" s="12">
        <f t="shared" si="1"/>
        <v>6388.06</v>
      </c>
      <c r="AB33" s="38" t="str">
        <f t="shared" si="1"/>
        <v/>
      </c>
      <c r="AC33" s="12">
        <f t="shared" si="1"/>
        <v>153939.63999999998</v>
      </c>
      <c r="AD33" s="3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2"/>
  <sheetViews>
    <sheetView topLeftCell="R16" zoomScaleNormal="100" workbookViewId="0">
      <selection activeCell="R31" sqref="R31"/>
    </sheetView>
  </sheetViews>
  <sheetFormatPr baseColWidth="10" defaultColWidth="10.6640625" defaultRowHeight="14.4" x14ac:dyDescent="0.3"/>
  <cols>
    <col min="1" max="1" width="8" customWidth="1"/>
    <col min="2" max="3" width="13" customWidth="1"/>
    <col min="4" max="4" width="15.33203125" customWidth="1"/>
    <col min="5" max="12" width="13" customWidth="1"/>
    <col min="13" max="13" width="15.6640625" customWidth="1"/>
    <col min="14" max="25" width="13" customWidth="1"/>
    <col min="26" max="26" width="16.109375" customWidth="1"/>
    <col min="27" max="27" width="13" customWidth="1"/>
    <col min="28" max="28" width="14" customWidth="1"/>
    <col min="29" max="29" width="25" customWidth="1"/>
  </cols>
  <sheetData>
    <row r="1" spans="1:30" ht="39.75" customHeight="1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90</v>
      </c>
      <c r="AA1" s="33" t="s">
        <v>27</v>
      </c>
      <c r="AB1" s="2" t="s">
        <v>28</v>
      </c>
      <c r="AC1" s="33" t="s">
        <v>29</v>
      </c>
      <c r="AD1" s="33" t="s">
        <v>64</v>
      </c>
    </row>
    <row r="2" spans="1:30" ht="15" customHeight="1" x14ac:dyDescent="0.3">
      <c r="A2" s="34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>
        <f>859.68-13.39</f>
        <v>846.29</v>
      </c>
      <c r="S2" s="35"/>
      <c r="T2" s="35"/>
      <c r="U2" s="35"/>
      <c r="V2" s="35"/>
      <c r="W2" s="35"/>
      <c r="X2" s="35"/>
      <c r="Y2" s="35"/>
      <c r="Z2" s="35"/>
      <c r="AA2" s="35"/>
      <c r="AB2" s="36"/>
      <c r="AC2" s="35">
        <f t="shared" ref="AC2:AC31" si="0">SUM(B2:AA2)</f>
        <v>846.29</v>
      </c>
      <c r="AD2" s="35"/>
    </row>
    <row r="3" spans="1:30" ht="15" customHeight="1" x14ac:dyDescent="0.3">
      <c r="A3" s="34">
        <v>2</v>
      </c>
      <c r="B3" s="35"/>
      <c r="C3" s="35"/>
      <c r="D3" s="35"/>
      <c r="E3" s="35">
        <v>498</v>
      </c>
      <c r="F3" s="35">
        <v>18447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>
        <f>605-44.65</f>
        <v>560.35</v>
      </c>
      <c r="S3" s="35"/>
      <c r="T3" s="35"/>
      <c r="U3" s="35"/>
      <c r="V3" s="35"/>
      <c r="W3" s="35"/>
      <c r="X3" s="35"/>
      <c r="Y3" s="35"/>
      <c r="Z3" s="35"/>
      <c r="AA3" s="35"/>
      <c r="AB3" s="36"/>
      <c r="AC3" s="35">
        <f t="shared" si="0"/>
        <v>19505.349999999999</v>
      </c>
      <c r="AD3" s="35"/>
    </row>
    <row r="4" spans="1:30" ht="15" customHeight="1" x14ac:dyDescent="0.3">
      <c r="A4" s="34">
        <v>3</v>
      </c>
      <c r="B4" s="35"/>
      <c r="C4" s="35"/>
      <c r="D4" s="35"/>
      <c r="E4" s="35"/>
      <c r="F4" s="35">
        <v>8345</v>
      </c>
      <c r="G4" s="35"/>
      <c r="H4" s="35">
        <f>3327-35.44</f>
        <v>3291.56</v>
      </c>
      <c r="I4" s="35">
        <f>3749-61.45</f>
        <v>3687.55</v>
      </c>
      <c r="J4" s="35"/>
      <c r="K4" s="35"/>
      <c r="L4" s="35"/>
      <c r="M4" s="35"/>
      <c r="N4" s="35"/>
      <c r="O4" s="35"/>
      <c r="P4" s="35">
        <v>1800</v>
      </c>
      <c r="Q4" s="35"/>
      <c r="R4" s="35">
        <f>378+1112.2+742-15.61-6.43</f>
        <v>2210.16</v>
      </c>
      <c r="S4" s="35"/>
      <c r="T4" s="35"/>
      <c r="U4" s="35"/>
      <c r="V4" s="35"/>
      <c r="W4" s="35"/>
      <c r="X4" s="35"/>
      <c r="Y4" s="35"/>
      <c r="Z4" s="35"/>
      <c r="AA4" s="35"/>
      <c r="AB4" s="36"/>
      <c r="AC4" s="35">
        <f t="shared" si="0"/>
        <v>19334.27</v>
      </c>
      <c r="AD4" s="35"/>
    </row>
    <row r="5" spans="1:30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>
        <f>263-19.4+177+0.14-3.22</f>
        <v>417.52</v>
      </c>
      <c r="S5" s="35"/>
      <c r="T5" s="35"/>
      <c r="U5" s="35"/>
      <c r="V5" s="35"/>
      <c r="W5" s="35"/>
      <c r="X5" s="35"/>
      <c r="Y5" s="35"/>
      <c r="Z5" s="35"/>
      <c r="AA5" s="35">
        <v>42</v>
      </c>
      <c r="AB5" s="36"/>
      <c r="AC5" s="35">
        <f t="shared" si="0"/>
        <v>459.52</v>
      </c>
      <c r="AD5" s="35"/>
    </row>
    <row r="6" spans="1:30" ht="15" customHeight="1" x14ac:dyDescent="0.3">
      <c r="A6" s="34">
        <v>5</v>
      </c>
      <c r="B6" s="35"/>
      <c r="C6" s="35"/>
      <c r="D6" s="35"/>
      <c r="E6" s="35"/>
      <c r="F6" s="35"/>
      <c r="G6" s="35"/>
      <c r="H6" s="35"/>
      <c r="I6" s="35"/>
      <c r="J6" s="35"/>
      <c r="K6" s="35">
        <v>23112.77</v>
      </c>
      <c r="L6" s="35"/>
      <c r="M6" s="35"/>
      <c r="N6" s="35"/>
      <c r="O6" s="35"/>
      <c r="P6" s="35"/>
      <c r="Q6" s="35"/>
      <c r="R6" s="35">
        <f>542-7.64+587-9.62</f>
        <v>1111.7400000000002</v>
      </c>
      <c r="S6" s="35"/>
      <c r="T6" s="35"/>
      <c r="U6" s="35"/>
      <c r="V6" s="35"/>
      <c r="W6" s="35"/>
      <c r="X6" s="35"/>
      <c r="Y6" s="35"/>
      <c r="Z6" s="35"/>
      <c r="AA6" s="35">
        <v>300</v>
      </c>
      <c r="AB6" s="36"/>
      <c r="AC6" s="35">
        <f t="shared" si="0"/>
        <v>24524.510000000002</v>
      </c>
      <c r="AD6" s="35" t="s">
        <v>89</v>
      </c>
    </row>
    <row r="7" spans="1:30" ht="15" customHeight="1" x14ac:dyDescent="0.3">
      <c r="A7" s="34">
        <v>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>
        <f>7245.67+256.67</f>
        <v>7502.34</v>
      </c>
      <c r="M7" s="35"/>
      <c r="N7" s="35"/>
      <c r="O7" s="35"/>
      <c r="P7" s="35"/>
      <c r="Q7" s="35"/>
      <c r="R7" s="35">
        <f>755-12.38</f>
        <v>742.62</v>
      </c>
      <c r="S7" s="35"/>
      <c r="T7" s="35"/>
      <c r="U7" s="35"/>
      <c r="V7" s="35"/>
      <c r="W7" s="35">
        <f>1980-32.46</f>
        <v>1947.54</v>
      </c>
      <c r="X7" s="35"/>
      <c r="Y7" s="35"/>
      <c r="Z7" s="35"/>
      <c r="AA7" s="35">
        <f>320-5.45+1244.58</f>
        <v>1559.1299999999999</v>
      </c>
      <c r="AB7" s="36"/>
      <c r="AC7" s="35">
        <f t="shared" si="0"/>
        <v>11751.63</v>
      </c>
      <c r="AD7" s="35"/>
    </row>
    <row r="8" spans="1:30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>
        <f t="shared" si="0"/>
        <v>0</v>
      </c>
      <c r="AD8" s="35"/>
    </row>
    <row r="9" spans="1:30" ht="15" customHeight="1" x14ac:dyDescent="0.3">
      <c r="A9" s="34">
        <v>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>
        <f>13329-218.51</f>
        <v>13110.49</v>
      </c>
      <c r="V9" s="35"/>
      <c r="W9" s="35"/>
      <c r="X9" s="35"/>
      <c r="Y9" s="35"/>
      <c r="Z9" s="35"/>
      <c r="AA9" s="35"/>
      <c r="AB9" s="36"/>
      <c r="AC9" s="35">
        <f t="shared" si="0"/>
        <v>13110.49</v>
      </c>
      <c r="AD9" s="35"/>
    </row>
    <row r="10" spans="1:30" ht="15" customHeight="1" x14ac:dyDescent="0.3">
      <c r="A10" s="34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>
        <f>263-4.57+952-16.36</f>
        <v>1194.0700000000002</v>
      </c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5">
        <f t="shared" si="0"/>
        <v>1194.0700000000002</v>
      </c>
      <c r="AD10" s="35"/>
    </row>
    <row r="11" spans="1:30" ht="15" customHeight="1" x14ac:dyDescent="0.3">
      <c r="A11" s="34">
        <v>10</v>
      </c>
      <c r="B11" s="35"/>
      <c r="C11" s="35"/>
      <c r="D11" s="35">
        <v>15706.32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>
        <f>746+720-12.65-53.11</f>
        <v>1400.24</v>
      </c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5">
        <f t="shared" si="0"/>
        <v>17106.560000000001</v>
      </c>
      <c r="AD11" s="35"/>
    </row>
    <row r="12" spans="1:30" ht="15" customHeight="1" x14ac:dyDescent="0.3">
      <c r="A12" s="34">
        <v>11</v>
      </c>
      <c r="B12" s="35"/>
      <c r="C12" s="35">
        <v>4369</v>
      </c>
      <c r="D12" s="35"/>
      <c r="E12" s="35"/>
      <c r="F12" s="35"/>
      <c r="G12" s="35"/>
      <c r="H12" s="35"/>
      <c r="I12" s="35"/>
      <c r="J12" s="35">
        <v>1000</v>
      </c>
      <c r="K12" s="35"/>
      <c r="L12" s="35"/>
      <c r="M12" s="35"/>
      <c r="N12" s="35">
        <v>810</v>
      </c>
      <c r="O12" s="35"/>
      <c r="P12" s="35"/>
      <c r="Q12" s="35"/>
      <c r="R12" s="35">
        <f>898-14.72+0.94+785.75-14.29</f>
        <v>1655.68</v>
      </c>
      <c r="S12" s="35"/>
      <c r="T12" s="35"/>
      <c r="U12" s="35"/>
      <c r="V12" s="35"/>
      <c r="W12" s="35"/>
      <c r="X12" s="35"/>
      <c r="Y12" s="35"/>
      <c r="Z12" s="35"/>
      <c r="AA12" s="35">
        <v>270</v>
      </c>
      <c r="AB12" s="36"/>
      <c r="AC12" s="35">
        <f t="shared" si="0"/>
        <v>8104.68</v>
      </c>
      <c r="AD12" s="35"/>
    </row>
    <row r="13" spans="1:30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>
        <f t="shared" si="0"/>
        <v>0</v>
      </c>
      <c r="AD13" s="35"/>
    </row>
    <row r="14" spans="1:30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>
        <f>500-8.19</f>
        <v>491.81</v>
      </c>
      <c r="P14" s="35"/>
      <c r="Q14" s="35"/>
      <c r="R14" s="35">
        <f>180-2.95+197-3.23+80-5.9+240+460+450-7.38+248-4.07+315-5.72</f>
        <v>2140.7500000000005</v>
      </c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>
        <f t="shared" si="0"/>
        <v>2632.5600000000004</v>
      </c>
      <c r="AD14" s="35"/>
    </row>
    <row r="15" spans="1:30" ht="15" customHeight="1" x14ac:dyDescent="0.3">
      <c r="A15" s="34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>
        <f>761-13.2</f>
        <v>747.8</v>
      </c>
      <c r="S15" s="35"/>
      <c r="T15" s="35"/>
      <c r="U15" s="35"/>
      <c r="V15" s="35"/>
      <c r="W15" s="35"/>
      <c r="X15" s="35"/>
      <c r="Y15" s="35"/>
      <c r="Z15" s="35"/>
      <c r="AA15" s="35">
        <f>128-2.1</f>
        <v>125.9</v>
      </c>
      <c r="AB15" s="36"/>
      <c r="AC15" s="35">
        <f t="shared" si="0"/>
        <v>873.69999999999993</v>
      </c>
      <c r="AD15" s="35"/>
    </row>
    <row r="16" spans="1:30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>
        <v>215</v>
      </c>
      <c r="Y16" s="35"/>
      <c r="Z16" s="35"/>
      <c r="AA16" s="35"/>
      <c r="AB16" s="36"/>
      <c r="AC16" s="35">
        <f t="shared" si="0"/>
        <v>215</v>
      </c>
      <c r="AD16" s="35"/>
    </row>
    <row r="17" spans="1:30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>
        <f t="shared" si="0"/>
        <v>0</v>
      </c>
      <c r="AD17" s="35"/>
    </row>
    <row r="18" spans="1:30" ht="15" customHeight="1" x14ac:dyDescent="0.3">
      <c r="A18" s="34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>
        <f>2550-41.8</f>
        <v>2508.1999999999998</v>
      </c>
      <c r="R18" s="35"/>
      <c r="S18" s="35">
        <f>926-14.75</f>
        <v>911.25</v>
      </c>
      <c r="T18" s="35"/>
      <c r="U18" s="35"/>
      <c r="V18" s="35"/>
      <c r="W18" s="35"/>
      <c r="X18" s="35"/>
      <c r="Y18" s="35"/>
      <c r="Z18" s="35"/>
      <c r="AA18" s="35"/>
      <c r="AB18" s="36"/>
      <c r="AC18" s="35">
        <f t="shared" si="0"/>
        <v>3419.45</v>
      </c>
      <c r="AD18" s="35"/>
    </row>
    <row r="19" spans="1:30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>
        <f>21570.71+1511.04</f>
        <v>23081.75</v>
      </c>
      <c r="N19" s="35"/>
      <c r="O19" s="35"/>
      <c r="P19" s="35"/>
      <c r="Q19" s="35"/>
      <c r="R19" s="35">
        <f>469+432+1666-7.31-26.74-8.53</f>
        <v>2524.42</v>
      </c>
      <c r="S19" s="35"/>
      <c r="T19" s="35"/>
      <c r="U19" s="35"/>
      <c r="V19" s="35"/>
      <c r="W19" s="35"/>
      <c r="X19" s="35"/>
      <c r="Y19" s="35"/>
      <c r="Z19" s="35"/>
      <c r="AA19" s="35"/>
      <c r="AB19" s="36"/>
      <c r="AC19" s="35">
        <f t="shared" si="0"/>
        <v>25606.17</v>
      </c>
      <c r="AD19" s="35"/>
    </row>
    <row r="20" spans="1:30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>
        <f>449+616-7.36-10.1</f>
        <v>1047.5400000000002</v>
      </c>
      <c r="S20" s="35"/>
      <c r="T20" s="35"/>
      <c r="U20" s="35"/>
      <c r="V20" s="35"/>
      <c r="W20" s="35"/>
      <c r="X20" s="35"/>
      <c r="Y20" s="35"/>
      <c r="Z20" s="35"/>
      <c r="AA20" s="35"/>
      <c r="AB20" s="36"/>
      <c r="AC20" s="35">
        <f t="shared" si="0"/>
        <v>1047.5400000000002</v>
      </c>
      <c r="AD20" s="35"/>
    </row>
    <row r="21" spans="1:30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6"/>
      <c r="AC21" s="35">
        <f t="shared" si="0"/>
        <v>0</v>
      </c>
      <c r="AD21" s="35"/>
    </row>
    <row r="22" spans="1:30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5">
        <f t="shared" si="0"/>
        <v>0</v>
      </c>
      <c r="AD22" s="35"/>
    </row>
    <row r="23" spans="1:30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>
        <f>662-10.9+692-11.34</f>
        <v>1331.76</v>
      </c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5">
        <f t="shared" si="0"/>
        <v>1331.76</v>
      </c>
      <c r="AD23" s="35"/>
    </row>
    <row r="24" spans="1:30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6"/>
      <c r="AC24" s="35">
        <f t="shared" si="0"/>
        <v>0</v>
      </c>
      <c r="AD24" s="35"/>
    </row>
    <row r="25" spans="1:30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>
        <v>3724</v>
      </c>
      <c r="P25" s="35"/>
      <c r="Q25" s="35"/>
      <c r="R25" s="35">
        <f>119.18+540-11.8-1.95-39.84+720</f>
        <v>1325.5900000000001</v>
      </c>
      <c r="S25" s="35"/>
      <c r="T25" s="35"/>
      <c r="U25" s="35"/>
      <c r="V25" s="35"/>
      <c r="W25" s="35"/>
      <c r="X25" s="35"/>
      <c r="Y25" s="35"/>
      <c r="Z25" s="35"/>
      <c r="AA25" s="35"/>
      <c r="AB25" s="36"/>
      <c r="AC25" s="35">
        <f t="shared" si="0"/>
        <v>5049.59</v>
      </c>
      <c r="AD25" s="35"/>
    </row>
    <row r="26" spans="1:30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>
        <v>-819.28</v>
      </c>
      <c r="P26" s="35">
        <v>1800</v>
      </c>
      <c r="Q26" s="35"/>
      <c r="R26" s="35">
        <f>444.94-7.49+481+1769.48-6.64-30.72</f>
        <v>2650.5700000000006</v>
      </c>
      <c r="S26" s="35"/>
      <c r="T26" s="35">
        <f>480-7.87+739.55-12.57+1006.45-16.5</f>
        <v>2189.06</v>
      </c>
      <c r="U26" s="35"/>
      <c r="V26" s="35"/>
      <c r="W26" s="35">
        <v>1300</v>
      </c>
      <c r="X26" s="35"/>
      <c r="Y26" s="35"/>
      <c r="Z26" s="35"/>
      <c r="AA26" s="35"/>
      <c r="AB26" s="36"/>
      <c r="AC26" s="35">
        <f t="shared" si="0"/>
        <v>7120.35</v>
      </c>
      <c r="AD26" s="35"/>
    </row>
    <row r="27" spans="1:30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6"/>
      <c r="AC27" s="35">
        <f t="shared" si="0"/>
        <v>0</v>
      </c>
      <c r="AD27" s="35"/>
    </row>
    <row r="28" spans="1:30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6"/>
      <c r="AC28" s="35">
        <f t="shared" si="0"/>
        <v>0</v>
      </c>
      <c r="AD28" s="35"/>
    </row>
    <row r="29" spans="1:30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>
        <f>1143+488-10.37+633-18.74-8+400</f>
        <v>2626.8900000000003</v>
      </c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35">
        <f t="shared" si="0"/>
        <v>2626.8900000000003</v>
      </c>
      <c r="AD29" s="35"/>
    </row>
    <row r="30" spans="1:30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>
        <f>265.01-2.12</f>
        <v>262.89</v>
      </c>
      <c r="T30" s="35"/>
      <c r="U30" s="35"/>
      <c r="V30" s="35"/>
      <c r="W30" s="35"/>
      <c r="X30" s="35"/>
      <c r="Y30" s="35"/>
      <c r="Z30" s="35"/>
      <c r="AA30" s="35">
        <f>79-1.3</f>
        <v>77.7</v>
      </c>
      <c r="AB30" s="36"/>
      <c r="AC30" s="35">
        <f t="shared" si="0"/>
        <v>340.59</v>
      </c>
      <c r="AD30" s="35"/>
    </row>
    <row r="31" spans="1:30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>
        <f>1004-14.15+381-6.93</f>
        <v>1363.9199999999998</v>
      </c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35">
        <f t="shared" si="0"/>
        <v>1363.9199999999998</v>
      </c>
      <c r="AD31" s="35"/>
    </row>
    <row r="32" spans="1:30" ht="15" customHeight="1" x14ac:dyDescent="0.3">
      <c r="A32" s="12" t="s">
        <v>53</v>
      </c>
      <c r="B32" s="12" t="str">
        <f t="shared" ref="B32:AC32" si="1">IF(COUNTA(B2:B31)&gt;0,SUM(B2:B31),"")</f>
        <v/>
      </c>
      <c r="C32" s="12">
        <f t="shared" si="1"/>
        <v>4369</v>
      </c>
      <c r="D32" s="12">
        <f t="shared" si="1"/>
        <v>15706.32</v>
      </c>
      <c r="E32" s="12">
        <f t="shared" si="1"/>
        <v>498</v>
      </c>
      <c r="F32" s="12">
        <f t="shared" si="1"/>
        <v>26792</v>
      </c>
      <c r="G32" s="12" t="str">
        <f t="shared" si="1"/>
        <v/>
      </c>
      <c r="H32" s="12">
        <f t="shared" si="1"/>
        <v>3291.56</v>
      </c>
      <c r="I32" s="12">
        <f t="shared" si="1"/>
        <v>3687.55</v>
      </c>
      <c r="J32" s="12">
        <f t="shared" si="1"/>
        <v>1000</v>
      </c>
      <c r="K32" s="12">
        <f t="shared" si="1"/>
        <v>23112.77</v>
      </c>
      <c r="L32" s="12">
        <f t="shared" si="1"/>
        <v>7502.34</v>
      </c>
      <c r="M32" s="12">
        <f t="shared" si="1"/>
        <v>23081.75</v>
      </c>
      <c r="N32" s="12">
        <f t="shared" si="1"/>
        <v>810</v>
      </c>
      <c r="O32" s="12">
        <f t="shared" si="1"/>
        <v>3396.5300000000007</v>
      </c>
      <c r="P32" s="12">
        <f t="shared" si="1"/>
        <v>3600</v>
      </c>
      <c r="Q32" s="12">
        <f t="shared" si="1"/>
        <v>2508.1999999999998</v>
      </c>
      <c r="R32" s="12">
        <f t="shared" si="1"/>
        <v>25897.909999999996</v>
      </c>
      <c r="S32" s="12">
        <f t="shared" si="1"/>
        <v>1174.1399999999999</v>
      </c>
      <c r="T32" s="12">
        <f t="shared" si="1"/>
        <v>2189.06</v>
      </c>
      <c r="U32" s="12">
        <f t="shared" si="1"/>
        <v>13110.49</v>
      </c>
      <c r="V32" s="12" t="str">
        <f t="shared" si="1"/>
        <v/>
      </c>
      <c r="W32" s="12">
        <f t="shared" si="1"/>
        <v>3247.54</v>
      </c>
      <c r="X32" s="12">
        <f t="shared" si="1"/>
        <v>215</v>
      </c>
      <c r="Y32" s="12" t="str">
        <f t="shared" si="1"/>
        <v/>
      </c>
      <c r="Z32" s="12" t="str">
        <f t="shared" si="1"/>
        <v/>
      </c>
      <c r="AA32" s="12">
        <f t="shared" si="1"/>
        <v>2374.73</v>
      </c>
      <c r="AB32" s="38" t="str">
        <f t="shared" si="1"/>
        <v/>
      </c>
      <c r="AC32" s="12">
        <f t="shared" si="1"/>
        <v>167564.89000000004</v>
      </c>
      <c r="AD32" s="3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3"/>
  <sheetViews>
    <sheetView tabSelected="1" topLeftCell="R11" zoomScaleNormal="100" workbookViewId="0">
      <selection activeCell="R27" sqref="R27"/>
    </sheetView>
  </sheetViews>
  <sheetFormatPr baseColWidth="10" defaultColWidth="10.6640625" defaultRowHeight="14.4" x14ac:dyDescent="0.3"/>
  <cols>
    <col min="1" max="1" width="8" customWidth="1"/>
    <col min="2" max="3" width="13" customWidth="1"/>
    <col min="4" max="4" width="15.5546875" customWidth="1"/>
    <col min="5" max="12" width="13" customWidth="1"/>
    <col min="13" max="13" width="17.109375" customWidth="1"/>
    <col min="14" max="25" width="13" customWidth="1"/>
    <col min="26" max="26" width="15.33203125" customWidth="1"/>
    <col min="27" max="27" width="13" customWidth="1"/>
    <col min="28" max="28" width="14" customWidth="1"/>
    <col min="29" max="29" width="25" customWidth="1"/>
    <col min="30" max="30" width="23.6640625" customWidth="1"/>
  </cols>
  <sheetData>
    <row r="1" spans="1:30" ht="39.75" customHeight="1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71</v>
      </c>
      <c r="AA1" s="33" t="s">
        <v>27</v>
      </c>
      <c r="AB1" s="2" t="s">
        <v>28</v>
      </c>
      <c r="AC1" s="33" t="s">
        <v>29</v>
      </c>
      <c r="AD1" s="33" t="s">
        <v>64</v>
      </c>
    </row>
    <row r="2" spans="1:30" ht="15" customHeight="1" x14ac:dyDescent="0.3">
      <c r="A2" s="34">
        <v>1</v>
      </c>
      <c r="B2" s="35"/>
      <c r="C2" s="35">
        <v>0</v>
      </c>
      <c r="D2" s="35"/>
      <c r="E2" s="35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>
        <f>1076-17.64</f>
        <v>1058.3599999999999</v>
      </c>
      <c r="S2" s="35"/>
      <c r="T2" s="35"/>
      <c r="U2" s="35">
        <v>0</v>
      </c>
      <c r="V2" s="35"/>
      <c r="W2" s="35"/>
      <c r="X2" s="35"/>
      <c r="Y2" s="35"/>
      <c r="Z2" s="35"/>
      <c r="AA2" s="35"/>
      <c r="AB2" s="36"/>
      <c r="AC2" s="35">
        <f t="shared" ref="AC2:AC32" si="0">SUM(B2:AA2)</f>
        <v>1058.3599999999999</v>
      </c>
      <c r="AD2" s="35"/>
    </row>
    <row r="3" spans="1:30" ht="15" customHeight="1" x14ac:dyDescent="0.3">
      <c r="A3" s="34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>
        <f>1237-39.84+540-18.97</f>
        <v>1718.19</v>
      </c>
      <c r="S3" s="35"/>
      <c r="T3" s="35"/>
      <c r="U3" s="35"/>
      <c r="V3" s="35"/>
      <c r="W3" s="35"/>
      <c r="X3" s="35"/>
      <c r="Y3" s="35"/>
      <c r="Z3" s="35"/>
      <c r="AA3" s="35"/>
      <c r="AB3" s="36"/>
      <c r="AC3" s="35">
        <f t="shared" si="0"/>
        <v>1718.19</v>
      </c>
      <c r="AD3" s="35"/>
    </row>
    <row r="4" spans="1:30" ht="15" customHeight="1" x14ac:dyDescent="0.3">
      <c r="A4" s="34">
        <v>3</v>
      </c>
      <c r="B4" s="35"/>
      <c r="C4" s="35"/>
      <c r="D4" s="35"/>
      <c r="E4" s="35"/>
      <c r="F4" s="43">
        <v>18447</v>
      </c>
      <c r="G4" s="35"/>
      <c r="H4" s="35"/>
      <c r="I4" s="35"/>
      <c r="J4" s="35"/>
      <c r="K4" s="35"/>
      <c r="L4" s="35"/>
      <c r="M4" s="35"/>
      <c r="N4" s="35"/>
      <c r="O4" s="35">
        <f>500-8.19</f>
        <v>491.81</v>
      </c>
      <c r="P4" s="35"/>
      <c r="Q4" s="35"/>
      <c r="R4" s="35">
        <f>131-2.23</f>
        <v>128.77000000000001</v>
      </c>
      <c r="S4" s="35"/>
      <c r="T4" s="35">
        <f>1300-21.31+260-4.26</f>
        <v>1534.43</v>
      </c>
      <c r="U4" s="35"/>
      <c r="V4" s="35"/>
      <c r="W4" s="35"/>
      <c r="X4" s="35"/>
      <c r="Y4" s="35"/>
      <c r="Z4" s="35"/>
      <c r="AA4" s="35"/>
      <c r="AB4" s="36"/>
      <c r="AC4" s="35">
        <f t="shared" si="0"/>
        <v>20602.010000000002</v>
      </c>
      <c r="AD4" s="35"/>
    </row>
    <row r="5" spans="1:30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>
        <f>962+1100-15.77-18.03+1436-17.52+131-2.23</f>
        <v>3575.45</v>
      </c>
      <c r="S5" s="35"/>
      <c r="T5" s="35"/>
      <c r="U5" s="35"/>
      <c r="V5" s="35"/>
      <c r="W5" s="35"/>
      <c r="X5" s="35"/>
      <c r="Y5" s="35"/>
      <c r="Z5" s="35"/>
      <c r="AA5" s="35"/>
      <c r="AB5" s="36"/>
      <c r="AC5" s="35">
        <f t="shared" si="0"/>
        <v>3575.45</v>
      </c>
      <c r="AD5" s="35"/>
    </row>
    <row r="6" spans="1:30" ht="15" customHeight="1" x14ac:dyDescent="0.3">
      <c r="A6" s="34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>
        <f t="shared" si="0"/>
        <v>0</v>
      </c>
      <c r="AD6" s="35"/>
    </row>
    <row r="7" spans="1:30" ht="15" customHeight="1" x14ac:dyDescent="0.3">
      <c r="A7" s="34">
        <v>6</v>
      </c>
      <c r="B7" s="35"/>
      <c r="C7" s="35"/>
      <c r="D7" s="35"/>
      <c r="E7" s="35"/>
      <c r="F7" s="35"/>
      <c r="G7" s="35"/>
      <c r="H7" s="35">
        <f>3327-35.44</f>
        <v>3291.56</v>
      </c>
      <c r="I7" s="35">
        <f>3329-54.57</f>
        <v>3274.43</v>
      </c>
      <c r="J7" s="35"/>
      <c r="K7" s="35">
        <v>26737.25</v>
      </c>
      <c r="L7" s="35"/>
      <c r="M7" s="35"/>
      <c r="N7" s="35"/>
      <c r="O7" s="35"/>
      <c r="P7" s="35"/>
      <c r="Q7" s="35"/>
      <c r="R7" s="35">
        <f>266-4.36</f>
        <v>261.64</v>
      </c>
      <c r="S7" s="35"/>
      <c r="T7" s="35"/>
      <c r="U7" s="35"/>
      <c r="V7" s="35"/>
      <c r="W7" s="35"/>
      <c r="X7" s="35"/>
      <c r="Y7" s="35"/>
      <c r="Z7" s="35"/>
      <c r="AA7" s="35"/>
      <c r="AB7" s="36"/>
      <c r="AC7" s="35">
        <f t="shared" si="0"/>
        <v>33564.879999999997</v>
      </c>
      <c r="AD7" s="35"/>
    </row>
    <row r="8" spans="1:30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>
        <v>700</v>
      </c>
      <c r="K8" s="35"/>
      <c r="L8" s="35"/>
      <c r="M8" s="35"/>
      <c r="N8" s="35">
        <v>810</v>
      </c>
      <c r="O8" s="35"/>
      <c r="P8" s="35"/>
      <c r="Q8" s="35"/>
      <c r="R8" s="35">
        <f>281.35-4.65</f>
        <v>276.70000000000005</v>
      </c>
      <c r="S8" s="35"/>
      <c r="T8" s="35"/>
      <c r="U8" s="35"/>
      <c r="V8" s="35"/>
      <c r="W8" s="35"/>
      <c r="X8" s="35"/>
      <c r="Y8" s="35"/>
      <c r="Z8" s="35"/>
      <c r="AA8" s="35"/>
      <c r="AB8" s="36"/>
      <c r="AC8" s="35">
        <f t="shared" si="0"/>
        <v>1786.7</v>
      </c>
      <c r="AD8" s="35"/>
    </row>
    <row r="9" spans="1:30" ht="15" customHeight="1" x14ac:dyDescent="0.3">
      <c r="A9" s="34">
        <v>8</v>
      </c>
      <c r="B9" s="35">
        <f>76.49+18.15+21856+5187.5</f>
        <v>27138.14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>
        <f>342-3.37</f>
        <v>338.63</v>
      </c>
      <c r="S9" s="35"/>
      <c r="T9" s="35"/>
      <c r="U9" s="35"/>
      <c r="V9" s="35"/>
      <c r="W9" s="35"/>
      <c r="X9" s="35"/>
      <c r="Y9" s="35"/>
      <c r="Z9" s="35"/>
      <c r="AA9" s="35">
        <v>2500</v>
      </c>
      <c r="AB9" s="36"/>
      <c r="AC9" s="35">
        <f t="shared" si="0"/>
        <v>29976.77</v>
      </c>
      <c r="AD9" s="35" t="s">
        <v>91</v>
      </c>
    </row>
    <row r="10" spans="1:30" ht="15" customHeight="1" x14ac:dyDescent="0.3">
      <c r="A10" s="34">
        <v>9</v>
      </c>
      <c r="B10" s="35"/>
      <c r="C10" s="35"/>
      <c r="D10" s="35"/>
      <c r="E10" s="35"/>
      <c r="F10" s="35"/>
      <c r="G10" s="35">
        <f>1015-16.64</f>
        <v>998.36</v>
      </c>
      <c r="H10" s="35"/>
      <c r="I10" s="35"/>
      <c r="J10" s="35"/>
      <c r="K10" s="35"/>
      <c r="L10" s="35">
        <f>9705.89+8284.14</f>
        <v>17990.03</v>
      </c>
      <c r="M10" s="35"/>
      <c r="N10" s="35"/>
      <c r="O10" s="35"/>
      <c r="P10" s="35"/>
      <c r="Q10" s="35"/>
      <c r="R10" s="35">
        <f>743-13.51</f>
        <v>729.49</v>
      </c>
      <c r="S10" s="35"/>
      <c r="T10" s="35"/>
      <c r="U10" s="35"/>
      <c r="V10" s="35"/>
      <c r="W10" s="35"/>
      <c r="X10" s="35"/>
      <c r="Y10" s="35"/>
      <c r="Z10" s="35"/>
      <c r="AA10" s="35">
        <v>500</v>
      </c>
      <c r="AB10" s="36"/>
      <c r="AC10" s="35">
        <f t="shared" si="0"/>
        <v>20217.88</v>
      </c>
      <c r="AD10" s="35" t="s">
        <v>92</v>
      </c>
    </row>
    <row r="11" spans="1:30" ht="15" customHeight="1" x14ac:dyDescent="0.3">
      <c r="A11" s="34">
        <v>10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>
        <f>1240-91.48</f>
        <v>1148.52</v>
      </c>
      <c r="S11" s="35">
        <f>108+461-1.97-6.31</f>
        <v>560.72</v>
      </c>
      <c r="T11" s="35"/>
      <c r="U11" s="35"/>
      <c r="V11" s="35"/>
      <c r="W11" s="35"/>
      <c r="X11" s="35"/>
      <c r="Y11" s="35"/>
      <c r="Z11" s="35"/>
      <c r="AA11" s="35">
        <f>1640+440-7.21</f>
        <v>2072.79</v>
      </c>
      <c r="AB11" s="36"/>
      <c r="AC11" s="35">
        <f t="shared" si="0"/>
        <v>3782.0299999999997</v>
      </c>
      <c r="AD11" s="35" t="s">
        <v>93</v>
      </c>
    </row>
    <row r="12" spans="1:30" ht="15" customHeight="1" x14ac:dyDescent="0.3">
      <c r="A12" s="34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>
        <f>385-7.56</f>
        <v>377.44</v>
      </c>
      <c r="S12" s="35"/>
      <c r="T12" s="35"/>
      <c r="U12" s="35"/>
      <c r="V12" s="35"/>
      <c r="W12" s="35">
        <v>500</v>
      </c>
      <c r="X12" s="35"/>
      <c r="Y12" s="35"/>
      <c r="Z12" s="35"/>
      <c r="AA12" s="35"/>
      <c r="AB12" s="36"/>
      <c r="AC12" s="35">
        <f t="shared" si="0"/>
        <v>877.44</v>
      </c>
      <c r="AD12" s="35"/>
    </row>
    <row r="13" spans="1:30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>
        <f t="shared" si="0"/>
        <v>0</v>
      </c>
      <c r="AD13" s="35"/>
    </row>
    <row r="14" spans="1:30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>
        <f t="shared" si="0"/>
        <v>0</v>
      </c>
      <c r="AD14" s="35"/>
    </row>
    <row r="15" spans="1:30" ht="15" customHeight="1" x14ac:dyDescent="0.3">
      <c r="A15" s="34">
        <v>14</v>
      </c>
      <c r="B15" s="35"/>
      <c r="C15" s="35"/>
      <c r="D15" s="35">
        <v>15751.26</v>
      </c>
      <c r="E15" s="35"/>
      <c r="F15" s="35">
        <v>7454</v>
      </c>
      <c r="G15" s="35"/>
      <c r="H15" s="35"/>
      <c r="I15" s="35"/>
      <c r="J15" s="35"/>
      <c r="K15" s="35"/>
      <c r="L15" s="35"/>
      <c r="M15" s="35"/>
      <c r="N15" s="35"/>
      <c r="O15" s="35"/>
      <c r="P15" s="35">
        <v>1800</v>
      </c>
      <c r="Q15" s="35"/>
      <c r="R15" s="35">
        <f>280+673+382-11.03-6.26-4.59</f>
        <v>1313.1200000000001</v>
      </c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35">
        <f t="shared" si="0"/>
        <v>26318.38</v>
      </c>
      <c r="AD15" s="35"/>
    </row>
    <row r="16" spans="1:30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>
        <v>232.5</v>
      </c>
      <c r="Y16" s="35"/>
      <c r="Z16" s="35"/>
      <c r="AA16" s="35"/>
      <c r="AB16" s="36"/>
      <c r="AC16" s="35">
        <f t="shared" si="0"/>
        <v>232.5</v>
      </c>
      <c r="AD16" s="35"/>
    </row>
    <row r="17" spans="1:30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>
        <f>1056-77.9</f>
        <v>978.1</v>
      </c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>
        <f t="shared" si="0"/>
        <v>978.1</v>
      </c>
      <c r="AD17" s="35"/>
    </row>
    <row r="18" spans="1:30" ht="15" customHeight="1" x14ac:dyDescent="0.3">
      <c r="A18" s="34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>
        <f>2213.22-34.71+460-33.95</f>
        <v>2604.56</v>
      </c>
      <c r="S18" s="35"/>
      <c r="T18" s="35">
        <f>1000-16.39</f>
        <v>983.61</v>
      </c>
      <c r="U18" s="35"/>
      <c r="V18" s="35"/>
      <c r="W18" s="35"/>
      <c r="X18" s="35"/>
      <c r="Y18" s="35"/>
      <c r="Z18" s="35"/>
      <c r="AA18" s="35"/>
      <c r="AB18" s="36"/>
      <c r="AC18" s="35">
        <f t="shared" si="0"/>
        <v>3588.17</v>
      </c>
      <c r="AD18" s="35"/>
    </row>
    <row r="19" spans="1:30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>
        <f>316-5.18+790+1090.89-13.03-18.37</f>
        <v>2160.31</v>
      </c>
      <c r="S19" s="35"/>
      <c r="T19" s="35">
        <v>340</v>
      </c>
      <c r="U19" s="35"/>
      <c r="V19" s="35"/>
      <c r="W19" s="35"/>
      <c r="X19" s="35"/>
      <c r="Y19" s="35"/>
      <c r="Z19" s="35"/>
      <c r="AA19" s="35"/>
      <c r="AB19" s="36"/>
      <c r="AC19" s="35">
        <f t="shared" si="0"/>
        <v>2500.31</v>
      </c>
      <c r="AD19" s="35"/>
    </row>
    <row r="20" spans="1:30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>
        <f>500-8.19</f>
        <v>491.81</v>
      </c>
      <c r="P20" s="35"/>
      <c r="Q20" s="35"/>
      <c r="R20" s="35"/>
      <c r="S20" s="35">
        <f>530-8.69</f>
        <v>521.30999999999995</v>
      </c>
      <c r="T20" s="35">
        <v>500</v>
      </c>
      <c r="U20" s="35"/>
      <c r="V20" s="35"/>
      <c r="W20" s="35"/>
      <c r="X20" s="35"/>
      <c r="Y20" s="35"/>
      <c r="Z20" s="35"/>
      <c r="AA20" s="35"/>
      <c r="AB20" s="36"/>
      <c r="AC20" s="35">
        <f t="shared" si="0"/>
        <v>1513.12</v>
      </c>
      <c r="AD20" s="35"/>
    </row>
    <row r="21" spans="1:30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6"/>
      <c r="AC21" s="35">
        <f t="shared" si="0"/>
        <v>0</v>
      </c>
      <c r="AD21" s="35"/>
    </row>
    <row r="22" spans="1:30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>
        <f>15187.97+1505.49</f>
        <v>16693.46</v>
      </c>
      <c r="N22" s="35"/>
      <c r="O22" s="35"/>
      <c r="P22" s="35"/>
      <c r="Q22" s="35"/>
      <c r="R22" s="35">
        <f>819-6.64-12.83-21.77-21.2+405+1328+1293+358</f>
        <v>4140.5599999999995</v>
      </c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5">
        <f t="shared" si="0"/>
        <v>20834.019999999997</v>
      </c>
      <c r="AD22" s="35"/>
    </row>
    <row r="23" spans="1:30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>
        <f>602.5+1172.02</f>
        <v>1774.52</v>
      </c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5">
        <f t="shared" si="0"/>
        <v>1774.52</v>
      </c>
      <c r="AD23" s="35"/>
    </row>
    <row r="24" spans="1:30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>
        <v>3921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6"/>
      <c r="AC24" s="35">
        <f t="shared" si="0"/>
        <v>3921</v>
      </c>
      <c r="AD24" s="35"/>
    </row>
    <row r="25" spans="1:30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>
        <v>-941.04</v>
      </c>
      <c r="P25" s="35"/>
      <c r="Q25" s="35"/>
      <c r="R25" s="35">
        <f>67-1.1+206.89-3.39+1395-19.27</f>
        <v>1645.13</v>
      </c>
      <c r="S25" s="35"/>
      <c r="T25" s="35">
        <f>1100+440+160-2.62</f>
        <v>1697.38</v>
      </c>
      <c r="U25" s="35"/>
      <c r="V25" s="35"/>
      <c r="W25" s="35"/>
      <c r="X25" s="35"/>
      <c r="Y25" s="35"/>
      <c r="Z25" s="35"/>
      <c r="AA25" s="35"/>
      <c r="AB25" s="36"/>
      <c r="AC25" s="35">
        <f t="shared" si="0"/>
        <v>2401.4700000000003</v>
      </c>
      <c r="AD25" s="35"/>
    </row>
    <row r="26" spans="1:30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>
        <f>540-39.84</f>
        <v>500.15999999999997</v>
      </c>
      <c r="S26" s="35">
        <v>3000</v>
      </c>
      <c r="T26" s="35">
        <v>2200</v>
      </c>
      <c r="U26" s="35"/>
      <c r="V26" s="35"/>
      <c r="W26" s="35"/>
      <c r="X26" s="35"/>
      <c r="Y26" s="35"/>
      <c r="Z26" s="35"/>
      <c r="AA26" s="35">
        <f>409+340-7.44</f>
        <v>741.56</v>
      </c>
      <c r="AB26" s="36"/>
      <c r="AC26" s="35">
        <f t="shared" si="0"/>
        <v>6441.7199999999993</v>
      </c>
      <c r="AD26" s="35" t="s">
        <v>81</v>
      </c>
    </row>
    <row r="27" spans="1:30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>
        <f>451+821-13.45-8.04</f>
        <v>1250.51</v>
      </c>
      <c r="S27" s="35"/>
      <c r="T27" s="35"/>
      <c r="U27" s="35"/>
      <c r="V27" s="35"/>
      <c r="W27" s="35"/>
      <c r="X27" s="35"/>
      <c r="Y27" s="35"/>
      <c r="Z27" s="35"/>
      <c r="AA27" s="35">
        <f>485-7.95+945-15.49</f>
        <v>1406.56</v>
      </c>
      <c r="AB27" s="36"/>
      <c r="AC27" s="35">
        <f t="shared" si="0"/>
        <v>2657.0699999999997</v>
      </c>
      <c r="AD27" s="35" t="s">
        <v>94</v>
      </c>
    </row>
    <row r="28" spans="1:30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6"/>
      <c r="AC28" s="35">
        <f t="shared" si="0"/>
        <v>0</v>
      </c>
      <c r="AD28" s="35"/>
    </row>
    <row r="29" spans="1:30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35">
        <f t="shared" si="0"/>
        <v>0</v>
      </c>
      <c r="AD29" s="35"/>
    </row>
    <row r="30" spans="1:30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6"/>
      <c r="AC30" s="35">
        <f t="shared" si="0"/>
        <v>0</v>
      </c>
      <c r="AD30" s="35"/>
    </row>
    <row r="31" spans="1:30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35">
        <f t="shared" si="0"/>
        <v>0</v>
      </c>
      <c r="AD31" s="35"/>
    </row>
    <row r="32" spans="1:30" ht="15" customHeight="1" x14ac:dyDescent="0.3">
      <c r="A32" s="34">
        <v>31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6"/>
      <c r="AC32" s="35">
        <f t="shared" si="0"/>
        <v>0</v>
      </c>
      <c r="AD32" s="35"/>
    </row>
    <row r="33" spans="1:30" ht="15" customHeight="1" x14ac:dyDescent="0.3">
      <c r="A33" s="12" t="s">
        <v>53</v>
      </c>
      <c r="B33" s="12">
        <f>IF(COUNTA(B2:B32)&gt;0,SUM(B2:B32),"")</f>
        <v>27138.14</v>
      </c>
      <c r="C33" s="12">
        <f t="shared" ref="C33:AC33" si="1">IF(COUNTA(C2:C32)&gt;0,SUM(C2:C32),"")</f>
        <v>0</v>
      </c>
      <c r="D33" s="12">
        <f t="shared" si="1"/>
        <v>15751.26</v>
      </c>
      <c r="E33" s="12">
        <f t="shared" si="1"/>
        <v>0</v>
      </c>
      <c r="F33" s="12">
        <f t="shared" si="1"/>
        <v>25901</v>
      </c>
      <c r="G33" s="12">
        <f t="shared" si="1"/>
        <v>998.36</v>
      </c>
      <c r="H33" s="12">
        <f t="shared" si="1"/>
        <v>3291.56</v>
      </c>
      <c r="I33" s="12">
        <f t="shared" si="1"/>
        <v>3274.43</v>
      </c>
      <c r="J33" s="12">
        <f t="shared" si="1"/>
        <v>700</v>
      </c>
      <c r="K33" s="12">
        <f t="shared" si="1"/>
        <v>26737.25</v>
      </c>
      <c r="L33" s="12">
        <f t="shared" si="1"/>
        <v>17990.03</v>
      </c>
      <c r="M33" s="12">
        <f t="shared" si="1"/>
        <v>16693.46</v>
      </c>
      <c r="N33" s="12">
        <f t="shared" si="1"/>
        <v>810</v>
      </c>
      <c r="O33" s="12">
        <f>IF(COUNTA(O2:O32)&gt;0,SUM(O2:O32),"")</f>
        <v>3963.58</v>
      </c>
      <c r="P33" s="12">
        <f t="shared" si="1"/>
        <v>1800</v>
      </c>
      <c r="Q33" s="12" t="str">
        <f t="shared" si="1"/>
        <v/>
      </c>
      <c r="R33" s="12">
        <f t="shared" si="1"/>
        <v>25980.160000000003</v>
      </c>
      <c r="S33" s="12">
        <f t="shared" si="1"/>
        <v>4082.0299999999997</v>
      </c>
      <c r="T33" s="12">
        <f t="shared" si="1"/>
        <v>7255.42</v>
      </c>
      <c r="U33" s="12">
        <f t="shared" si="1"/>
        <v>0</v>
      </c>
      <c r="V33" s="12" t="str">
        <f t="shared" si="1"/>
        <v/>
      </c>
      <c r="W33" s="12">
        <f t="shared" si="1"/>
        <v>500</v>
      </c>
      <c r="X33" s="12">
        <f t="shared" si="1"/>
        <v>232.5</v>
      </c>
      <c r="Y33" s="12" t="str">
        <f t="shared" si="1"/>
        <v/>
      </c>
      <c r="Z33" s="12" t="str">
        <f t="shared" si="1"/>
        <v/>
      </c>
      <c r="AA33" s="12">
        <f t="shared" si="1"/>
        <v>7220.91</v>
      </c>
      <c r="AB33" s="38" t="str">
        <f t="shared" si="1"/>
        <v/>
      </c>
      <c r="AC33" s="12">
        <f t="shared" si="1"/>
        <v>190320.09</v>
      </c>
      <c r="AD33" s="3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2"/>
  <sheetViews>
    <sheetView zoomScaleNormal="100" workbookViewId="0">
      <selection activeCell="K1" sqref="K1"/>
    </sheetView>
  </sheetViews>
  <sheetFormatPr baseColWidth="10" defaultColWidth="10.6640625" defaultRowHeight="14.4" x14ac:dyDescent="0.3"/>
  <cols>
    <col min="1" max="1" width="8" customWidth="1"/>
    <col min="2" max="27" width="13" customWidth="1"/>
    <col min="28" max="28" width="14" customWidth="1"/>
    <col min="29" max="29" width="25" customWidth="1"/>
  </cols>
  <sheetData>
    <row r="1" spans="1:30" ht="39.75" customHeight="1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71</v>
      </c>
      <c r="AA1" s="33" t="s">
        <v>27</v>
      </c>
      <c r="AB1" s="2" t="s">
        <v>28</v>
      </c>
      <c r="AC1" s="33" t="s">
        <v>29</v>
      </c>
      <c r="AD1" s="33" t="s">
        <v>64</v>
      </c>
    </row>
    <row r="2" spans="1:30" ht="15" customHeight="1" x14ac:dyDescent="0.3">
      <c r="A2" s="34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6"/>
      <c r="AC2" s="35">
        <f t="shared" ref="AC2:AC31" si="0">SUM(B2:AA2)</f>
        <v>0</v>
      </c>
      <c r="AD2" s="35"/>
    </row>
    <row r="3" spans="1:30" ht="15" customHeight="1" x14ac:dyDescent="0.3">
      <c r="A3" s="34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  <c r="AC3" s="35">
        <f t="shared" si="0"/>
        <v>0</v>
      </c>
      <c r="AD3" s="35"/>
    </row>
    <row r="4" spans="1:30" ht="15" customHeight="1" x14ac:dyDescent="0.3">
      <c r="A4" s="34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35">
        <f t="shared" si="0"/>
        <v>0</v>
      </c>
      <c r="AD4" s="35"/>
    </row>
    <row r="5" spans="1:30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35">
        <f t="shared" si="0"/>
        <v>0</v>
      </c>
      <c r="AD5" s="35"/>
    </row>
    <row r="6" spans="1:30" ht="15" customHeight="1" x14ac:dyDescent="0.3">
      <c r="A6" s="34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>
        <f t="shared" si="0"/>
        <v>0</v>
      </c>
      <c r="AD6" s="35"/>
    </row>
    <row r="7" spans="1:30" ht="15" customHeight="1" x14ac:dyDescent="0.3">
      <c r="A7" s="34">
        <v>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35">
        <f t="shared" si="0"/>
        <v>0</v>
      </c>
      <c r="AD7" s="35"/>
    </row>
    <row r="8" spans="1:30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>
        <f t="shared" si="0"/>
        <v>0</v>
      </c>
      <c r="AD8" s="35"/>
    </row>
    <row r="9" spans="1:30" ht="15" customHeight="1" x14ac:dyDescent="0.3">
      <c r="A9" s="34">
        <v>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5">
        <f t="shared" si="0"/>
        <v>0</v>
      </c>
      <c r="AD9" s="35"/>
    </row>
    <row r="10" spans="1:30" ht="15" customHeight="1" x14ac:dyDescent="0.3">
      <c r="A10" s="34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5">
        <f t="shared" si="0"/>
        <v>0</v>
      </c>
      <c r="AD10" s="35"/>
    </row>
    <row r="11" spans="1:30" ht="15" customHeight="1" x14ac:dyDescent="0.3">
      <c r="A11" s="34">
        <v>10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5">
        <f t="shared" si="0"/>
        <v>0</v>
      </c>
      <c r="AD11" s="35"/>
    </row>
    <row r="12" spans="1:30" ht="15" customHeight="1" x14ac:dyDescent="0.3">
      <c r="A12" s="34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>
        <f t="shared" si="0"/>
        <v>0</v>
      </c>
      <c r="AD12" s="35"/>
    </row>
    <row r="13" spans="1:30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>
        <f t="shared" si="0"/>
        <v>0</v>
      </c>
      <c r="AD13" s="35"/>
    </row>
    <row r="14" spans="1:30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>
        <f t="shared" si="0"/>
        <v>0</v>
      </c>
      <c r="AD14" s="35"/>
    </row>
    <row r="15" spans="1:30" ht="15" customHeight="1" x14ac:dyDescent="0.3">
      <c r="A15" s="34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35">
        <f t="shared" si="0"/>
        <v>0</v>
      </c>
      <c r="AD15" s="35"/>
    </row>
    <row r="16" spans="1:30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6"/>
      <c r="AC16" s="35">
        <f t="shared" si="0"/>
        <v>0</v>
      </c>
      <c r="AD16" s="35"/>
    </row>
    <row r="17" spans="1:30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>
        <f t="shared" si="0"/>
        <v>0</v>
      </c>
      <c r="AD17" s="35"/>
    </row>
    <row r="18" spans="1:30" ht="15" customHeight="1" x14ac:dyDescent="0.3">
      <c r="A18" s="34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  <c r="AC18" s="35">
        <f t="shared" si="0"/>
        <v>0</v>
      </c>
      <c r="AD18" s="35"/>
    </row>
    <row r="19" spans="1:30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6"/>
      <c r="AC19" s="35">
        <f t="shared" si="0"/>
        <v>0</v>
      </c>
      <c r="AD19" s="35"/>
    </row>
    <row r="20" spans="1:30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6"/>
      <c r="AC20" s="35">
        <f t="shared" si="0"/>
        <v>0</v>
      </c>
      <c r="AD20" s="35"/>
    </row>
    <row r="21" spans="1:30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6"/>
      <c r="AC21" s="35">
        <f t="shared" si="0"/>
        <v>0</v>
      </c>
      <c r="AD21" s="35"/>
    </row>
    <row r="22" spans="1:30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5">
        <f t="shared" si="0"/>
        <v>0</v>
      </c>
      <c r="AD22" s="35"/>
    </row>
    <row r="23" spans="1:30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5">
        <f t="shared" si="0"/>
        <v>0</v>
      </c>
      <c r="AD23" s="35"/>
    </row>
    <row r="24" spans="1:30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6"/>
      <c r="AC24" s="35">
        <f t="shared" si="0"/>
        <v>0</v>
      </c>
      <c r="AD24" s="35"/>
    </row>
    <row r="25" spans="1:30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6"/>
      <c r="AC25" s="35">
        <f t="shared" si="0"/>
        <v>0</v>
      </c>
      <c r="AD25" s="35"/>
    </row>
    <row r="26" spans="1:30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6"/>
      <c r="AC26" s="35">
        <f t="shared" si="0"/>
        <v>0</v>
      </c>
      <c r="AD26" s="35"/>
    </row>
    <row r="27" spans="1:30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6"/>
      <c r="AC27" s="35">
        <f t="shared" si="0"/>
        <v>0</v>
      </c>
      <c r="AD27" s="35"/>
    </row>
    <row r="28" spans="1:30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6"/>
      <c r="AC28" s="35">
        <f t="shared" si="0"/>
        <v>0</v>
      </c>
      <c r="AD28" s="35"/>
    </row>
    <row r="29" spans="1:30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35">
        <f t="shared" si="0"/>
        <v>0</v>
      </c>
      <c r="AD29" s="35"/>
    </row>
    <row r="30" spans="1:30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6"/>
      <c r="AC30" s="35">
        <f t="shared" si="0"/>
        <v>0</v>
      </c>
      <c r="AD30" s="35"/>
    </row>
    <row r="31" spans="1:30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35">
        <f t="shared" si="0"/>
        <v>0</v>
      </c>
      <c r="AD31" s="35"/>
    </row>
    <row r="32" spans="1:30" ht="15" customHeight="1" x14ac:dyDescent="0.3">
      <c r="A32" s="12" t="s">
        <v>53</v>
      </c>
      <c r="B32" s="12" t="str">
        <f t="shared" ref="B32:AC32" si="1">IF(COUNTA(B2:B31)&gt;0,SUM(B2:B31),"")</f>
        <v/>
      </c>
      <c r="C32" s="12" t="str">
        <f t="shared" si="1"/>
        <v/>
      </c>
      <c r="D32" s="12" t="str">
        <f t="shared" si="1"/>
        <v/>
      </c>
      <c r="E32" s="12" t="str">
        <f t="shared" si="1"/>
        <v/>
      </c>
      <c r="F32" s="12" t="str">
        <f t="shared" si="1"/>
        <v/>
      </c>
      <c r="G32" s="12" t="str">
        <f t="shared" si="1"/>
        <v/>
      </c>
      <c r="H32" s="12" t="str">
        <f t="shared" si="1"/>
        <v/>
      </c>
      <c r="I32" s="12" t="str">
        <f t="shared" si="1"/>
        <v/>
      </c>
      <c r="J32" s="12" t="str">
        <f t="shared" si="1"/>
        <v/>
      </c>
      <c r="K32" s="12" t="str">
        <f t="shared" si="1"/>
        <v/>
      </c>
      <c r="L32" s="12" t="str">
        <f t="shared" si="1"/>
        <v/>
      </c>
      <c r="M32" s="12" t="str">
        <f t="shared" si="1"/>
        <v/>
      </c>
      <c r="N32" s="12" t="str">
        <f t="shared" si="1"/>
        <v/>
      </c>
      <c r="O32" s="12" t="str">
        <f t="shared" si="1"/>
        <v/>
      </c>
      <c r="P32" s="12" t="str">
        <f t="shared" si="1"/>
        <v/>
      </c>
      <c r="Q32" s="12" t="str">
        <f t="shared" si="1"/>
        <v/>
      </c>
      <c r="R32" s="12" t="str">
        <f t="shared" si="1"/>
        <v/>
      </c>
      <c r="S32" s="12" t="str">
        <f t="shared" si="1"/>
        <v/>
      </c>
      <c r="T32" s="12" t="str">
        <f t="shared" si="1"/>
        <v/>
      </c>
      <c r="U32" s="12" t="str">
        <f t="shared" si="1"/>
        <v/>
      </c>
      <c r="V32" s="12" t="str">
        <f t="shared" si="1"/>
        <v/>
      </c>
      <c r="W32" s="12" t="str">
        <f t="shared" si="1"/>
        <v/>
      </c>
      <c r="X32" s="12" t="str">
        <f t="shared" si="1"/>
        <v/>
      </c>
      <c r="Y32" s="12" t="str">
        <f t="shared" si="1"/>
        <v/>
      </c>
      <c r="Z32" s="12" t="str">
        <f t="shared" si="1"/>
        <v/>
      </c>
      <c r="AA32" s="12" t="str">
        <f t="shared" si="1"/>
        <v/>
      </c>
      <c r="AB32" s="38" t="str">
        <f t="shared" si="1"/>
        <v/>
      </c>
      <c r="AC32" s="12">
        <f t="shared" si="1"/>
        <v>0</v>
      </c>
      <c r="AD32" s="3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3"/>
  <sheetViews>
    <sheetView zoomScaleNormal="100" workbookViewId="0">
      <selection activeCell="G15" sqref="G15"/>
    </sheetView>
  </sheetViews>
  <sheetFormatPr baseColWidth="10" defaultColWidth="10.6640625" defaultRowHeight="14.4" x14ac:dyDescent="0.3"/>
  <cols>
    <col min="1" max="1" width="8" customWidth="1"/>
    <col min="2" max="27" width="13" customWidth="1"/>
    <col min="28" max="28" width="14" customWidth="1"/>
    <col min="29" max="29" width="25" customWidth="1"/>
  </cols>
  <sheetData>
    <row r="1" spans="1:30" ht="39.75" customHeight="1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  <c r="S1" s="33" t="s">
        <v>19</v>
      </c>
      <c r="T1" s="33" t="s">
        <v>20</v>
      </c>
      <c r="U1" s="33" t="s">
        <v>21</v>
      </c>
      <c r="V1" s="33" t="s">
        <v>22</v>
      </c>
      <c r="W1" s="33" t="s">
        <v>23</v>
      </c>
      <c r="X1" s="33" t="s">
        <v>24</v>
      </c>
      <c r="Y1" s="33" t="s">
        <v>25</v>
      </c>
      <c r="Z1" s="33" t="s">
        <v>71</v>
      </c>
      <c r="AA1" s="33" t="s">
        <v>27</v>
      </c>
      <c r="AB1" s="2" t="s">
        <v>28</v>
      </c>
      <c r="AC1" s="33" t="s">
        <v>29</v>
      </c>
      <c r="AD1" s="33" t="s">
        <v>64</v>
      </c>
    </row>
    <row r="2" spans="1:30" ht="15" customHeight="1" x14ac:dyDescent="0.3">
      <c r="A2" s="34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6"/>
      <c r="AC2" s="35">
        <f t="shared" ref="AC2:AC32" si="0">SUM(B2:AA2)</f>
        <v>0</v>
      </c>
      <c r="AD2" s="35"/>
    </row>
    <row r="3" spans="1:30" ht="15" customHeight="1" x14ac:dyDescent="0.3">
      <c r="A3" s="34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  <c r="AC3" s="35">
        <f t="shared" si="0"/>
        <v>0</v>
      </c>
      <c r="AD3" s="35"/>
    </row>
    <row r="4" spans="1:30" ht="15" customHeight="1" x14ac:dyDescent="0.3">
      <c r="A4" s="34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35">
        <f t="shared" si="0"/>
        <v>0</v>
      </c>
      <c r="AD4" s="35"/>
    </row>
    <row r="5" spans="1:30" ht="15" customHeight="1" x14ac:dyDescent="0.3">
      <c r="A5" s="34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35">
        <f t="shared" si="0"/>
        <v>0</v>
      </c>
      <c r="AD5" s="35"/>
    </row>
    <row r="6" spans="1:30" ht="15" customHeight="1" x14ac:dyDescent="0.3">
      <c r="A6" s="34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>
        <f t="shared" si="0"/>
        <v>0</v>
      </c>
      <c r="AD6" s="35"/>
    </row>
    <row r="7" spans="1:30" ht="15" customHeight="1" x14ac:dyDescent="0.3">
      <c r="A7" s="34">
        <v>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35">
        <f t="shared" si="0"/>
        <v>0</v>
      </c>
      <c r="AD7" s="35"/>
    </row>
    <row r="8" spans="1:30" ht="15" customHeight="1" x14ac:dyDescent="0.3">
      <c r="A8" s="34">
        <v>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>
        <f t="shared" si="0"/>
        <v>0</v>
      </c>
      <c r="AD8" s="35"/>
    </row>
    <row r="9" spans="1:30" ht="15" customHeight="1" x14ac:dyDescent="0.3">
      <c r="A9" s="34">
        <v>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5">
        <f t="shared" si="0"/>
        <v>0</v>
      </c>
      <c r="AD9" s="35"/>
    </row>
    <row r="10" spans="1:30" ht="15" customHeight="1" x14ac:dyDescent="0.3">
      <c r="A10" s="34">
        <v>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5">
        <f t="shared" si="0"/>
        <v>0</v>
      </c>
      <c r="AD10" s="35"/>
    </row>
    <row r="11" spans="1:30" ht="15" customHeight="1" x14ac:dyDescent="0.3">
      <c r="A11" s="34">
        <v>10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5">
        <f t="shared" si="0"/>
        <v>0</v>
      </c>
      <c r="AD11" s="35"/>
    </row>
    <row r="12" spans="1:30" ht="15" customHeight="1" x14ac:dyDescent="0.3">
      <c r="A12" s="34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>
        <f t="shared" si="0"/>
        <v>0</v>
      </c>
      <c r="AD12" s="35"/>
    </row>
    <row r="13" spans="1:30" ht="15" customHeight="1" x14ac:dyDescent="0.3">
      <c r="A13" s="34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>
        <f t="shared" si="0"/>
        <v>0</v>
      </c>
      <c r="AD13" s="35"/>
    </row>
    <row r="14" spans="1:30" ht="15" customHeight="1" x14ac:dyDescent="0.3">
      <c r="A14" s="34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>
        <f t="shared" si="0"/>
        <v>0</v>
      </c>
      <c r="AD14" s="35"/>
    </row>
    <row r="15" spans="1:30" ht="15" customHeight="1" x14ac:dyDescent="0.3">
      <c r="A15" s="34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35">
        <f t="shared" si="0"/>
        <v>0</v>
      </c>
      <c r="AD15" s="35"/>
    </row>
    <row r="16" spans="1:30" ht="15" customHeight="1" x14ac:dyDescent="0.3">
      <c r="A16" s="34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6"/>
      <c r="AC16" s="35">
        <f t="shared" si="0"/>
        <v>0</v>
      </c>
      <c r="AD16" s="35"/>
    </row>
    <row r="17" spans="1:30" ht="15" customHeight="1" x14ac:dyDescent="0.3">
      <c r="A17" s="34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>
        <f t="shared" si="0"/>
        <v>0</v>
      </c>
      <c r="AD17" s="35"/>
    </row>
    <row r="18" spans="1:30" ht="15" customHeight="1" x14ac:dyDescent="0.3">
      <c r="A18" s="34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  <c r="AC18" s="35">
        <f t="shared" si="0"/>
        <v>0</v>
      </c>
      <c r="AD18" s="35"/>
    </row>
    <row r="19" spans="1:30" ht="15" customHeight="1" x14ac:dyDescent="0.3">
      <c r="A19" s="34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6"/>
      <c r="AC19" s="35">
        <f t="shared" si="0"/>
        <v>0</v>
      </c>
      <c r="AD19" s="35"/>
    </row>
    <row r="20" spans="1:30" ht="15" customHeight="1" x14ac:dyDescent="0.3">
      <c r="A20" s="34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6"/>
      <c r="AC20" s="35">
        <f t="shared" si="0"/>
        <v>0</v>
      </c>
      <c r="AD20" s="35"/>
    </row>
    <row r="21" spans="1:30" ht="15" customHeight="1" x14ac:dyDescent="0.3">
      <c r="A21" s="34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6"/>
      <c r="AC21" s="35">
        <f t="shared" si="0"/>
        <v>0</v>
      </c>
      <c r="AD21" s="35"/>
    </row>
    <row r="22" spans="1:30" ht="15" customHeight="1" x14ac:dyDescent="0.3">
      <c r="A22" s="34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  <c r="AC22" s="35">
        <f t="shared" si="0"/>
        <v>0</v>
      </c>
      <c r="AD22" s="35"/>
    </row>
    <row r="23" spans="1:30" ht="15" customHeight="1" x14ac:dyDescent="0.3">
      <c r="A23" s="34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5">
        <f t="shared" si="0"/>
        <v>0</v>
      </c>
      <c r="AD23" s="35"/>
    </row>
    <row r="24" spans="1:30" ht="15" customHeight="1" x14ac:dyDescent="0.3">
      <c r="A24" s="34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6"/>
      <c r="AC24" s="35">
        <f t="shared" si="0"/>
        <v>0</v>
      </c>
      <c r="AD24" s="35"/>
    </row>
    <row r="25" spans="1:30" ht="15" customHeight="1" x14ac:dyDescent="0.3">
      <c r="A25" s="34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6"/>
      <c r="AC25" s="35">
        <f t="shared" si="0"/>
        <v>0</v>
      </c>
      <c r="AD25" s="35"/>
    </row>
    <row r="26" spans="1:30" ht="15" customHeight="1" x14ac:dyDescent="0.3">
      <c r="A26" s="34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6"/>
      <c r="AC26" s="35">
        <f t="shared" si="0"/>
        <v>0</v>
      </c>
      <c r="AD26" s="35"/>
    </row>
    <row r="27" spans="1:30" ht="15" customHeight="1" x14ac:dyDescent="0.3">
      <c r="A27" s="34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6"/>
      <c r="AC27" s="35">
        <f t="shared" si="0"/>
        <v>0</v>
      </c>
      <c r="AD27" s="35"/>
    </row>
    <row r="28" spans="1:30" ht="15" customHeight="1" x14ac:dyDescent="0.3">
      <c r="A28" s="34">
        <v>27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6"/>
      <c r="AC28" s="35">
        <f t="shared" si="0"/>
        <v>0</v>
      </c>
      <c r="AD28" s="35"/>
    </row>
    <row r="29" spans="1:30" ht="15" customHeight="1" x14ac:dyDescent="0.3">
      <c r="A29" s="34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35">
        <f t="shared" si="0"/>
        <v>0</v>
      </c>
      <c r="AD29" s="35"/>
    </row>
    <row r="30" spans="1:30" ht="15" customHeight="1" x14ac:dyDescent="0.3">
      <c r="A30" s="34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6"/>
      <c r="AC30" s="35">
        <f t="shared" si="0"/>
        <v>0</v>
      </c>
      <c r="AD30" s="35"/>
    </row>
    <row r="31" spans="1:30" ht="15" customHeight="1" x14ac:dyDescent="0.3">
      <c r="A31" s="34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35">
        <f t="shared" si="0"/>
        <v>0</v>
      </c>
      <c r="AD31" s="35"/>
    </row>
    <row r="32" spans="1:30" ht="15" customHeight="1" x14ac:dyDescent="0.3">
      <c r="A32" s="34">
        <v>31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6"/>
      <c r="AC32" s="35">
        <f t="shared" si="0"/>
        <v>0</v>
      </c>
      <c r="AD32" s="35"/>
    </row>
    <row r="33" spans="1:30" ht="15" customHeight="1" x14ac:dyDescent="0.3">
      <c r="A33" s="12" t="s">
        <v>53</v>
      </c>
      <c r="B33" s="12" t="str">
        <f t="shared" ref="B33:AC33" si="1">IF(COUNTA(B2:B32)&gt;0,SUM(B2:B32),"")</f>
        <v/>
      </c>
      <c r="C33" s="12" t="str">
        <f t="shared" si="1"/>
        <v/>
      </c>
      <c r="D33" s="12" t="str">
        <f t="shared" si="1"/>
        <v/>
      </c>
      <c r="E33" s="12" t="str">
        <f t="shared" si="1"/>
        <v/>
      </c>
      <c r="F33" s="12" t="str">
        <f t="shared" si="1"/>
        <v/>
      </c>
      <c r="G33" s="12" t="str">
        <f t="shared" si="1"/>
        <v/>
      </c>
      <c r="H33" s="12" t="str">
        <f t="shared" si="1"/>
        <v/>
      </c>
      <c r="I33" s="12" t="str">
        <f t="shared" si="1"/>
        <v/>
      </c>
      <c r="J33" s="12" t="str">
        <f t="shared" si="1"/>
        <v/>
      </c>
      <c r="K33" s="12" t="str">
        <f t="shared" si="1"/>
        <v/>
      </c>
      <c r="L33" s="12" t="str">
        <f t="shared" si="1"/>
        <v/>
      </c>
      <c r="M33" s="12" t="str">
        <f t="shared" si="1"/>
        <v/>
      </c>
      <c r="N33" s="12" t="str">
        <f t="shared" si="1"/>
        <v/>
      </c>
      <c r="O33" s="12" t="str">
        <f t="shared" si="1"/>
        <v/>
      </c>
      <c r="P33" s="12" t="str">
        <f t="shared" si="1"/>
        <v/>
      </c>
      <c r="Q33" s="12" t="str">
        <f t="shared" si="1"/>
        <v/>
      </c>
      <c r="R33" s="12" t="str">
        <f t="shared" si="1"/>
        <v/>
      </c>
      <c r="S33" s="12" t="str">
        <f t="shared" si="1"/>
        <v/>
      </c>
      <c r="T33" s="12" t="str">
        <f t="shared" si="1"/>
        <v/>
      </c>
      <c r="U33" s="12" t="str">
        <f t="shared" si="1"/>
        <v/>
      </c>
      <c r="V33" s="12" t="str">
        <f t="shared" si="1"/>
        <v/>
      </c>
      <c r="W33" s="12" t="str">
        <f t="shared" si="1"/>
        <v/>
      </c>
      <c r="X33" s="12" t="str">
        <f t="shared" si="1"/>
        <v/>
      </c>
      <c r="Y33" s="12" t="str">
        <f t="shared" si="1"/>
        <v/>
      </c>
      <c r="Z33" s="12" t="str">
        <f t="shared" si="1"/>
        <v/>
      </c>
      <c r="AA33" s="12" t="str">
        <f t="shared" si="1"/>
        <v/>
      </c>
      <c r="AB33" s="38" t="str">
        <f t="shared" si="1"/>
        <v/>
      </c>
      <c r="AC33" s="12">
        <f t="shared" si="1"/>
        <v>0</v>
      </c>
      <c r="AD33" s="39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Presupuesto</vt:lpstr>
      <vt:lpstr>Mayo</vt:lpstr>
      <vt:lpstr>Junio</vt:lpstr>
      <vt:lpstr>Julio</vt:lpstr>
      <vt:lpstr>Agosto</vt:lpstr>
      <vt:lpstr>Setiembre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Nicolás Arocha</cp:lastModifiedBy>
  <cp:revision>0</cp:revision>
  <dcterms:created xsi:type="dcterms:W3CDTF">2015-06-05T18:19:34Z</dcterms:created>
  <dcterms:modified xsi:type="dcterms:W3CDTF">2026-10-28T14:23:14Z</dcterms:modified>
  <dc:language>en-US</dc:language>
</cp:coreProperties>
</file>