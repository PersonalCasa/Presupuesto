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0122C2DF-60FF-4BEF-805F-DA9045674AA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8" i="2" l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<sst xmlns="http://schemas.openxmlformats.org/spreadsheetml/2006/main" count="370" uniqueCount="63">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</sst>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rgb="FFAD1457"/>
      <name val="Cambria"/>
      <charset val="1"/>
    </font>
    <font>
      <b/>
      <sz val="11"/>
      <color rgb="FF1565C0"/>
      <name val="Cambria"/>
      <charset val="1"/>
    </font>
    <font>
      <b/>
      <sz val="11"/>
      <color rgb="FF2E7D32"/>
      <name val="Cambria"/>
      <charset val="1"/>
    </font>
    <font>
      <b/>
      <sz val="11"/>
      <color rgb="FFFFFFFF"/>
      <name val="Cambria"/>
      <charset val="1"/>
    </font>
    <font>
      <b/>
      <sz val="12"/>
      <name val="Cambria"/>
      <charset val="1"/>
    </font>
    <font>
      <b/>
      <sz val="11"/>
      <color rgb="FF0284C7"/>
      <name val="Cambria"/>
      <charset val="1"/>
    </font>
    <font>
      <i/>
      <sz val="11"/>
      <color rgb="FF555555"/>
      <name val="Cambria"/>
      <charset val="1"/>
    </font>
    <font>
      <b/>
      <sz val="11"/>
      <color rgb="FFC62828"/>
      <name val="Cambria"/>
      <charset val="1"/>
    </font>
    <font>
      <b/>
      <sz val="11"/>
      <color rgb="FF1B5E20"/>
      <name val="Cambria"/>
      <charset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M1" zoomScaleNormal="100" workbookViewId="0">
      <selection activeCell="AB17" sqref="AB17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10000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142700</v>
      </c>
      <c r="AB3" s="5">
        <f t="shared" ref="AB3:AB10" si="1">+AA3/2</f>
        <v>71350</v>
      </c>
      <c r="AC3" s="1">
        <v>10000</v>
      </c>
      <c r="AD3" s="5">
        <f t="shared" ref="AD3:AD10" si="2">+AE3-AB3-AC3</f>
        <v>13650</v>
      </c>
      <c r="AE3" s="1">
        <v>95000</v>
      </c>
      <c r="AF3" s="6">
        <f>AA3/2-L3</f>
        <v>61350</v>
      </c>
      <c r="AG3" s="7">
        <f t="shared" ref="AG3:AG10" si="3">AA3/2-D3</f>
        <v>55850</v>
      </c>
      <c r="AH3" s="8">
        <f t="shared" ref="AH3:AH10" si="4">AF3+AG3</f>
        <v>117200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T4" s="1">
        <v>9000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148000</v>
      </c>
      <c r="AB4" s="5">
        <f t="shared" si="1"/>
        <v>74000</v>
      </c>
      <c r="AC4" s="1">
        <v>10000</v>
      </c>
      <c r="AD4" s="5">
        <f t="shared" si="2"/>
        <v>11000</v>
      </c>
      <c r="AE4" s="1">
        <v>95000</v>
      </c>
      <c r="AF4" s="6">
        <f t="shared" ref="AF4:AF10" si="5">AA4/2-L4</f>
        <v>66500</v>
      </c>
      <c r="AG4" s="7">
        <f t="shared" si="3"/>
        <v>58500</v>
      </c>
      <c r="AH4" s="8">
        <f t="shared" si="4"/>
        <v>125000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132050</v>
      </c>
      <c r="AB8" s="5">
        <f t="shared" si="1"/>
        <v>66025</v>
      </c>
      <c r="AC8" s="1">
        <v>10000</v>
      </c>
      <c r="AD8" s="5">
        <f t="shared" si="2"/>
        <v>18975</v>
      </c>
      <c r="AE8" s="1">
        <v>95000</v>
      </c>
      <c r="AF8" s="6">
        <f t="shared" si="5"/>
        <v>58525</v>
      </c>
      <c r="AG8" s="7">
        <f t="shared" si="3"/>
        <v>50525</v>
      </c>
      <c r="AH8" s="8">
        <f t="shared" si="4"/>
        <v>109050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T9" s="1">
        <v>12000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146919</v>
      </c>
      <c r="AB9" s="5">
        <f t="shared" si="1"/>
        <v>73459.5</v>
      </c>
      <c r="AC9" s="1">
        <v>10000</v>
      </c>
      <c r="AD9" s="5">
        <f t="shared" si="2"/>
        <v>11540.5</v>
      </c>
      <c r="AE9" s="1">
        <v>95000</v>
      </c>
      <c r="AF9" s="6">
        <f t="shared" si="5"/>
        <v>65959.5</v>
      </c>
      <c r="AG9" s="7">
        <f t="shared" si="3"/>
        <v>57959.5</v>
      </c>
      <c r="AH9" s="8">
        <f t="shared" si="4"/>
        <v>123919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 t="str">
        <f>IF(Mayo!D33&gt;0,Mayo!D33,"")</f>
        <v/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 t="str">
        <f>IF(Mayo!J33&gt;0,Mayo!J33,"")</f>
        <v/>
      </c>
      <c r="K14" s="1">
        <f>IF(Mayo!K33&gt;0,Mayo!K33,"")</f>
        <v>18082.010000000002</v>
      </c>
      <c r="L14" s="1" t="str">
        <f>IF(Mayo!L33&gt;0,Mayo!L33,"")</f>
        <v/>
      </c>
      <c r="M14" s="1" t="str">
        <f>IF(Mayo!M33&gt;0,Mayo!M33,"")</f>
        <v/>
      </c>
      <c r="N14" s="1" t="str">
        <f>IF(Mayo!N33&gt;0,Mayo!N33,"")</f>
        <v/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3758.51</v>
      </c>
      <c r="R14" s="1" t="str">
        <f>IF(Mayo!R33&gt;0,Mayo!R33,"")</f>
        <v/>
      </c>
      <c r="S14" s="1" t="str">
        <f>IF(Mayo!S33&gt;0,Mayo!S33,"")</f>
        <v/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68.64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2258.36</v>
      </c>
      <c r="AA14" s="1">
        <f>IF(Mayo!AA33&gt;0,Mayo!AA33,"")</f>
        <v>67207.340000000011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 t="str">
        <f>IF(ISNUMBER(Mayo!D33),D3-Mayo!D33,"")</f>
        <v/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 t="str">
        <f>IF(ISNUMBER(Mayo!J33),J3-Mayo!J33,"")</f>
        <v/>
      </c>
      <c r="K25" s="1">
        <f>IF(ISNUMBER(Mayo!K33),K3-Mayo!K33,"")</f>
        <v>17.989999999997963</v>
      </c>
      <c r="L25" s="1" t="str">
        <f>IF(ISNUMBER(Mayo!L33),L3-Mayo!L33,"")</f>
        <v/>
      </c>
      <c r="M25" s="1" t="str">
        <f>IF(ISNUMBER(Mayo!M33),M3-Mayo!M33,"")</f>
        <v/>
      </c>
      <c r="N25" s="1" t="str">
        <f>IF(ISNUMBER(Mayo!N33),N3-Mayo!N33,"")</f>
        <v/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16241.49</v>
      </c>
      <c r="R25" s="1" t="str">
        <f>IF(ISNUMBER(Mayo!R33),R3-Mayo!R33,"")</f>
        <v/>
      </c>
      <c r="S25" s="1" t="str">
        <f>IF(ISNUMBER(Mayo!S33),S3-Mayo!S33,"")</f>
        <v/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1431.36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1741.6399999999999</v>
      </c>
      <c r="AA25" s="10">
        <f t="shared" ref="AA25:AA33" si="6">SUMIF(B25:Z25,"&lt;&gt;"&amp;"")</f>
        <v>20592.659999999996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0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0</v>
      </c>
      <c r="K33" s="10">
        <f t="shared" si="7"/>
        <v>17.989999999997963</v>
      </c>
      <c r="L33" s="10">
        <f t="shared" si="7"/>
        <v>0</v>
      </c>
      <c r="M33" s="10">
        <f t="shared" si="7"/>
        <v>0</v>
      </c>
      <c r="N33" s="10">
        <f t="shared" si="7"/>
        <v>0</v>
      </c>
      <c r="O33" s="10">
        <f t="shared" si="7"/>
        <v>0</v>
      </c>
      <c r="P33" s="10">
        <f t="shared" si="7"/>
        <v>0</v>
      </c>
      <c r="Q33" s="10">
        <f t="shared" si="7"/>
        <v>16241.49</v>
      </c>
      <c r="R33" s="10">
        <f t="shared" si="7"/>
        <v>0</v>
      </c>
      <c r="S33" s="10">
        <f t="shared" si="7"/>
        <v>0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1431.36</v>
      </c>
      <c r="X33" s="10">
        <f t="shared" si="7"/>
        <v>0</v>
      </c>
      <c r="Y33" s="10">
        <f t="shared" si="7"/>
        <v>0</v>
      </c>
      <c r="Z33" s="10">
        <f t="shared" si="7"/>
        <v>1741.6399999999999</v>
      </c>
      <c r="AA33" s="10">
        <f t="shared" si="6"/>
        <v>20592.659999999996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500000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L1" zoomScaleNormal="100" workbookViewId="0">
      <selection activeCell="Q9" sqref="Q9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/>
      <c r="X7" s="14"/>
      <c r="Y7" s="14"/>
      <c r="Z7" s="14">
        <v>2258.36</v>
      </c>
      <c r="AA7" s="14">
        <f t="shared" si="0"/>
        <v>44591.19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>
        <f>454-8.26</f>
        <v>445.74</v>
      </c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445.74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 t="str">
        <f t="shared" si="1"/>
        <v/>
      </c>
      <c r="K33" s="10">
        <f t="shared" si="1"/>
        <v>18082.010000000002</v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>
        <f t="shared" si="1"/>
        <v>3758.51</v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68.64</v>
      </c>
      <c r="X33" s="10" t="str">
        <f t="shared" si="1"/>
        <v/>
      </c>
      <c r="Y33" s="10" t="str">
        <f t="shared" si="1"/>
        <v/>
      </c>
      <c r="Z33" s="10">
        <f t="shared" si="1"/>
        <v>2258.36</v>
      </c>
      <c r="AA33" s="10">
        <f t="shared" si="1"/>
        <v>67207.340000000011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2026-05-07T17:06:34Z</dcterms:modified>
  <dc:language>en-US</dc:language>
</cp:coreProperties>
</file>