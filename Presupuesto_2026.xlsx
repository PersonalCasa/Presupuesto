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AA28" i="1" s="1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W28" i="1"/>
  <c r="S28" i="1"/>
  <c r="Q28" i="1"/>
  <c r="P28" i="1"/>
  <c r="O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W17" i="1"/>
  <c r="U17" i="1"/>
  <c r="T17" i="1"/>
  <c r="S17" i="1"/>
  <c r="Q17" i="1"/>
  <c r="P17" i="1"/>
  <c r="O17" i="1"/>
  <c r="M17" i="1"/>
  <c r="K17" i="1"/>
  <c r="J17" i="1"/>
  <c r="I17" i="1"/>
  <c r="H17" i="1"/>
  <c r="G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L17" i="1" l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<sst xmlns="http://schemas.openxmlformats.org/spreadsheetml/2006/main" count="406" uniqueCount="82">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</sst>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topLeftCell="A19" zoomScaleNormal="100" workbookViewId="0">
      <selection activeCell="J28" sqref="J2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>
        <f>IF(Agosto!F33&gt;0,Agosto!F33,"")</f>
        <v>19744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 t="str">
        <f>IF(Agosto!J33&gt;0,Agosto!J33,"")</f>
        <v/>
      </c>
      <c r="K17" s="1" t="str">
        <f>IF(Agosto!K33&gt;0,Agosto!K33,"")</f>
        <v/>
      </c>
      <c r="L17" s="1">
        <f>IF(Agosto!L33&gt;0,Agosto!L33,"")</f>
        <v>13997.56</v>
      </c>
      <c r="M17" s="1" t="str">
        <f>IF(Agosto!M33&gt;0,Agosto!M33,"")</f>
        <v/>
      </c>
      <c r="N17" s="1" t="str">
        <f>IF(Agosto!N33&gt;0,Agosto!N33,"")</f>
        <v/>
      </c>
      <c r="O17" s="1">
        <f>IF(Agosto!O33&gt;0,Agosto!O33,"")</f>
        <v>491.81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3186.5</v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>
        <f>IF(Agosto!AA33&gt;0,Agosto!AA33,"")</f>
        <v>1229.01</v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>
        <f>IF(ISNUMBER(Agosto!F33),F6-Agosto!F33,"")</f>
        <v>6356</v>
      </c>
      <c r="G28" s="1">
        <f>IF(ISNUMBER(Agosto!G33),G6-Agosto!G33,"")</f>
        <v>-170</v>
      </c>
      <c r="H28" s="1">
        <f>IF(ISNUMBER(Agosto!H33),H6-Agosto!H33,"")</f>
        <v>208.44000000000005</v>
      </c>
      <c r="I28" s="1">
        <f>IF(ISNUMBER(Agosto!I33),I6-Agosto!I33,"")</f>
        <v>-335.40999999999985</v>
      </c>
      <c r="J28" s="1" t="str">
        <f>IF(ISNUMBER(Agosto!J33),J6-Agosto!J33,"")</f>
        <v/>
      </c>
      <c r="K28" s="1" t="str">
        <f>IF(ISNUMBER(Agosto!K33),K6-Agosto!K33,"")</f>
        <v/>
      </c>
      <c r="L28" s="1">
        <f>IF(ISNUMBER(Agosto!L33),L6-Agosto!L33,"")</f>
        <v>-1997.5599999999995</v>
      </c>
      <c r="M28" s="1" t="str">
        <f>IF(ISNUMBER(Agosto!M33),M6-Agosto!M33,"")</f>
        <v/>
      </c>
      <c r="N28" s="1" t="str">
        <f>IF(ISNUMBER(Agosto!N33),N6-Agosto!N33,"")</f>
        <v/>
      </c>
      <c r="O28" s="1">
        <f>IF(ISNUMBER(Agosto!O33),O6-Agosto!O33,"")</f>
        <v>7508.19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16813.5</v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>
        <f>IF(ISNUMBER(Agosto!AA33),AA6-Agosto!AA33,"")</f>
        <v>3770.99</v>
      </c>
      <c r="AC28" s="12">
        <f t="shared" si="7"/>
        <v>33472.94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4470</v>
      </c>
      <c r="G33" s="12">
        <f t="shared" si="8"/>
        <v>-165</v>
      </c>
      <c r="H33" s="12">
        <f t="shared" si="8"/>
        <v>625.32000000000016</v>
      </c>
      <c r="I33" s="12">
        <f t="shared" si="8"/>
        <v>678.67999999999984</v>
      </c>
      <c r="J33" s="12">
        <f t="shared" si="8"/>
        <v>300</v>
      </c>
      <c r="K33" s="12">
        <f t="shared" si="8"/>
        <v>13.809999999999945</v>
      </c>
      <c r="L33" s="12">
        <f t="shared" si="8"/>
        <v>-1670.4600000000028</v>
      </c>
      <c r="M33" s="12">
        <f t="shared" si="8"/>
        <v>-13596.369999999999</v>
      </c>
      <c r="N33" s="12">
        <f t="shared" si="8"/>
        <v>80</v>
      </c>
      <c r="O33" s="12">
        <f t="shared" si="8"/>
        <v>18923.03</v>
      </c>
      <c r="P33" s="12">
        <f t="shared" si="8"/>
        <v>1800</v>
      </c>
      <c r="Q33" s="12">
        <f t="shared" si="8"/>
        <v>50.820000000000164</v>
      </c>
      <c r="R33" s="12">
        <f t="shared" si="8"/>
        <v>17568.16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-12779.819999999998</v>
      </c>
      <c r="AC33" s="12">
        <f t="shared" si="7"/>
        <v>23503.669999999991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8" sqref="G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>
        <f t="shared" si="1"/>
        <v>19744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 t="str">
        <f t="shared" si="1"/>
        <v/>
      </c>
      <c r="K33" s="12" t="str">
        <f t="shared" si="1"/>
        <v/>
      </c>
      <c r="L33" s="12">
        <f t="shared" si="1"/>
        <v>13997.56</v>
      </c>
      <c r="M33" s="12" t="str">
        <f t="shared" si="1"/>
        <v/>
      </c>
      <c r="N33" s="12" t="str">
        <f t="shared" si="1"/>
        <v/>
      </c>
      <c r="O33" s="12">
        <f t="shared" si="1"/>
        <v>491.81</v>
      </c>
      <c r="P33" s="12" t="str">
        <f t="shared" si="1"/>
        <v/>
      </c>
      <c r="Q33" s="12" t="str">
        <f t="shared" si="1"/>
        <v/>
      </c>
      <c r="R33" s="12">
        <f t="shared" si="1"/>
        <v>3186.5</v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>
        <f t="shared" si="1"/>
        <v>1229.01</v>
      </c>
      <c r="AB33" s="38" t="str">
        <f t="shared" si="1"/>
        <v/>
      </c>
      <c r="AC33" s="12">
        <f t="shared" si="1"/>
        <v>46642.06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2026-08-06T19:35:50Z</dcterms:modified>
  <dc:language>en-US</dc:language>
</cp:coreProperties>
</file>