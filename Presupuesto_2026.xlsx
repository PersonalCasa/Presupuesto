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bookViews>
    <workbookView xWindow="0" yWindow="0" windowWidth="20490" windowHeight="7620" tabRatio="500" activeTab="5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31" i="6" l="1"/>
  <c r="AA30" i="6" l="1"/>
  <c r="S30" i="6"/>
  <c r="R29" i="6" l="1"/>
  <c r="T26" i="6" l="1"/>
  <c r="R26" i="6"/>
  <c r="R25" i="6" l="1"/>
  <c r="R23" i="6" l="1"/>
  <c r="R20" i="6"/>
  <c r="M19" i="6" l="1"/>
  <c r="R19" i="6"/>
  <c r="S18" i="6"/>
  <c r="Q18" i="6"/>
  <c r="AA15" i="6" l="1"/>
  <c r="R15" i="6"/>
  <c r="O14" i="6" l="1"/>
  <c r="R14" i="6"/>
  <c r="R12" i="6"/>
  <c r="R11" i="6" l="1"/>
  <c r="R10" i="6" l="1"/>
  <c r="U9" i="6"/>
  <c r="L7" i="6" l="1"/>
  <c r="AA7" i="6"/>
  <c r="W7" i="6"/>
  <c r="R7" i="6"/>
  <c r="R6" i="6"/>
  <c r="R5" i="6"/>
  <c r="R4" i="6" l="1"/>
  <c r="I4" i="6" l="1"/>
  <c r="H4" i="6"/>
  <c r="R3" i="6"/>
  <c r="R2" i="6" l="1"/>
  <c r="O31" i="5" l="1"/>
  <c r="T31" i="5"/>
  <c r="Y32" i="5"/>
  <c r="AA28" i="5" l="1"/>
  <c r="R24" i="5" l="1"/>
  <c r="R27" i="5"/>
  <c r="O19" i="5" l="1"/>
  <c r="T21" i="5"/>
  <c r="R21" i="5"/>
  <c r="Y21" i="5"/>
  <c r="AA20" i="5"/>
  <c r="R20" i="5"/>
  <c r="S20" i="5"/>
  <c r="AA19" i="5"/>
  <c r="Y16" i="5" l="1"/>
  <c r="R16" i="5"/>
  <c r="R17" i="5"/>
  <c r="AA17" i="5"/>
  <c r="R15" i="5" l="1"/>
  <c r="R10" i="5" l="1"/>
  <c r="R9" i="5" l="1"/>
  <c r="T9" i="5"/>
  <c r="T10" i="5"/>
  <c r="O11" i="5"/>
  <c r="I7" i="5" l="1"/>
  <c r="H7" i="5"/>
  <c r="AA7" i="5"/>
  <c r="R7" i="5"/>
  <c r="L7" i="5"/>
  <c r="R6" i="5"/>
  <c r="AA5" i="5" l="1"/>
  <c r="R5" i="5"/>
  <c r="O4" i="5" l="1"/>
  <c r="X3" i="5"/>
  <c r="R3" i="5"/>
  <c r="R4" i="5"/>
  <c r="AC6" i="1" l="1"/>
  <c r="R25" i="3" l="1"/>
  <c r="AC22" i="3"/>
  <c r="R18" i="3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AA18" i="1" s="1"/>
  <c r="Z32" i="6"/>
  <c r="Y32" i="6"/>
  <c r="X32" i="6"/>
  <c r="X29" i="1" s="1"/>
  <c r="W32" i="6"/>
  <c r="W18" i="1" s="1"/>
  <c r="V32" i="6"/>
  <c r="U32" i="6"/>
  <c r="U29" i="1" s="1"/>
  <c r="T32" i="6"/>
  <c r="T29" i="1" s="1"/>
  <c r="S32" i="6"/>
  <c r="S29" i="1" s="1"/>
  <c r="R32" i="6"/>
  <c r="R18" i="1" s="1"/>
  <c r="Q32" i="6"/>
  <c r="Q18" i="1" s="1"/>
  <c r="P32" i="6"/>
  <c r="P29" i="1" s="1"/>
  <c r="O32" i="6"/>
  <c r="O29" i="1" s="1"/>
  <c r="N32" i="6"/>
  <c r="M32" i="6"/>
  <c r="M18" i="1" s="1"/>
  <c r="L32" i="6"/>
  <c r="L29" i="1" s="1"/>
  <c r="K32" i="6"/>
  <c r="K18" i="1" s="1"/>
  <c r="J32" i="6"/>
  <c r="J29" i="1" s="1"/>
  <c r="I32" i="6"/>
  <c r="H32" i="6"/>
  <c r="G32" i="6"/>
  <c r="F32" i="6"/>
  <c r="F29" i="1" s="1"/>
  <c r="E32" i="6"/>
  <c r="E29" i="1" s="1"/>
  <c r="D32" i="6"/>
  <c r="D18" i="1" s="1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B33" i="5"/>
  <c r="AA33" i="5"/>
  <c r="AA28" i="1" s="1"/>
  <c r="Z33" i="5"/>
  <c r="Z28" i="1" s="1"/>
  <c r="Y33" i="5"/>
  <c r="Y28" i="1" s="1"/>
  <c r="X33" i="5"/>
  <c r="X17" i="1" s="1"/>
  <c r="W33" i="5"/>
  <c r="W28" i="1" s="1"/>
  <c r="V33" i="5"/>
  <c r="V28" i="1" s="1"/>
  <c r="U33" i="5"/>
  <c r="U28" i="1" s="1"/>
  <c r="T33" i="5"/>
  <c r="T28" i="1" s="1"/>
  <c r="S33" i="5"/>
  <c r="S28" i="1" s="1"/>
  <c r="R33" i="5"/>
  <c r="R28" i="1" s="1"/>
  <c r="Q33" i="5"/>
  <c r="P33" i="5"/>
  <c r="P17" i="1" s="1"/>
  <c r="O33" i="5"/>
  <c r="O17" i="1" s="1"/>
  <c r="N33" i="5"/>
  <c r="N28" i="1" s="1"/>
  <c r="M33" i="5"/>
  <c r="M28" i="1" s="1"/>
  <c r="L33" i="5"/>
  <c r="L28" i="1" s="1"/>
  <c r="K33" i="5"/>
  <c r="J33" i="5"/>
  <c r="J28" i="1" s="1"/>
  <c r="I33" i="5"/>
  <c r="H33" i="5"/>
  <c r="G33" i="5"/>
  <c r="F33" i="5"/>
  <c r="F28" i="1" s="1"/>
  <c r="E33" i="5"/>
  <c r="E28" i="1" s="1"/>
  <c r="D33" i="5"/>
  <c r="D28" i="1" s="1"/>
  <c r="C33" i="5"/>
  <c r="B33" i="5"/>
  <c r="B28" i="1" s="1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B33" i="4"/>
  <c r="AA33" i="4"/>
  <c r="Z33" i="4"/>
  <c r="Y33" i="4"/>
  <c r="Y16" i="1" s="1"/>
  <c r="X33" i="4"/>
  <c r="X16" i="1" s="1"/>
  <c r="W33" i="4"/>
  <c r="V33" i="4"/>
  <c r="V27" i="1" s="1"/>
  <c r="U33" i="4"/>
  <c r="T33" i="4"/>
  <c r="S33" i="4"/>
  <c r="R33" i="4"/>
  <c r="Q33" i="4"/>
  <c r="Q16" i="1" s="1"/>
  <c r="P33" i="4"/>
  <c r="P16" i="1" s="1"/>
  <c r="O33" i="4"/>
  <c r="N33" i="4"/>
  <c r="N27" i="1" s="1"/>
  <c r="M33" i="4"/>
  <c r="L33" i="4"/>
  <c r="K33" i="4"/>
  <c r="J33" i="4"/>
  <c r="I33" i="4"/>
  <c r="I16" i="1" s="1"/>
  <c r="H33" i="4"/>
  <c r="H16" i="1" s="1"/>
  <c r="G33" i="4"/>
  <c r="F33" i="4"/>
  <c r="F27" i="1" s="1"/>
  <c r="E33" i="4"/>
  <c r="D33" i="4"/>
  <c r="D16" i="1" s="1"/>
  <c r="C33" i="4"/>
  <c r="C16" i="1" s="1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2" i="3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Z29" i="1"/>
  <c r="Y29" i="1"/>
  <c r="V29" i="1"/>
  <c r="N29" i="1"/>
  <c r="K29" i="1"/>
  <c r="I29" i="1"/>
  <c r="H29" i="1"/>
  <c r="G29" i="1"/>
  <c r="C29" i="1"/>
  <c r="B29" i="1"/>
  <c r="Q28" i="1"/>
  <c r="K28" i="1"/>
  <c r="I28" i="1"/>
  <c r="H28" i="1"/>
  <c r="G28" i="1"/>
  <c r="C28" i="1"/>
  <c r="AA27" i="1"/>
  <c r="Z27" i="1"/>
  <c r="W27" i="1"/>
  <c r="U27" i="1"/>
  <c r="T27" i="1"/>
  <c r="S27" i="1"/>
  <c r="R27" i="1"/>
  <c r="O27" i="1"/>
  <c r="M27" i="1"/>
  <c r="L27" i="1"/>
  <c r="K27" i="1"/>
  <c r="J27" i="1"/>
  <c r="G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Z18" i="1"/>
  <c r="Y18" i="1"/>
  <c r="V18" i="1"/>
  <c r="N18" i="1"/>
  <c r="L18" i="1"/>
  <c r="J18" i="1"/>
  <c r="I18" i="1"/>
  <c r="H18" i="1"/>
  <c r="G18" i="1"/>
  <c r="C18" i="1"/>
  <c r="B18" i="1"/>
  <c r="Z17" i="1"/>
  <c r="U17" i="1"/>
  <c r="Q17" i="1"/>
  <c r="M17" i="1"/>
  <c r="K17" i="1"/>
  <c r="J17" i="1"/>
  <c r="I17" i="1"/>
  <c r="H17" i="1"/>
  <c r="G17" i="1"/>
  <c r="E17" i="1"/>
  <c r="C17" i="1"/>
  <c r="B17" i="1"/>
  <c r="AA16" i="1"/>
  <c r="Z16" i="1"/>
  <c r="W16" i="1"/>
  <c r="U16" i="1"/>
  <c r="T16" i="1"/>
  <c r="S16" i="1"/>
  <c r="R16" i="1"/>
  <c r="O16" i="1"/>
  <c r="M16" i="1"/>
  <c r="L16" i="1"/>
  <c r="K16" i="1"/>
  <c r="J16" i="1"/>
  <c r="G16" i="1"/>
  <c r="E16" i="1"/>
  <c r="B16" i="1"/>
  <c r="W15" i="1"/>
  <c r="V15" i="1"/>
  <c r="Q15" i="1"/>
  <c r="P15" i="1"/>
  <c r="E15" i="1"/>
  <c r="B15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AC10" i="1"/>
  <c r="AD9" i="1"/>
  <c r="AF9" i="1" s="1"/>
  <c r="AC9" i="1"/>
  <c r="AI9" i="1" s="1"/>
  <c r="AD8" i="1"/>
  <c r="AF8" i="1" s="1"/>
  <c r="AC8" i="1"/>
  <c r="AD7" i="1"/>
  <c r="AF7" i="1" s="1"/>
  <c r="AC7" i="1"/>
  <c r="AD6" i="1"/>
  <c r="AF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T18" i="1" l="1"/>
  <c r="O18" i="1"/>
  <c r="S18" i="1"/>
  <c r="M29" i="1"/>
  <c r="Q29" i="1"/>
  <c r="X18" i="1"/>
  <c r="D29" i="1"/>
  <c r="U18" i="1"/>
  <c r="W29" i="1"/>
  <c r="W33" i="1" s="1"/>
  <c r="AA29" i="1"/>
  <c r="P18" i="1"/>
  <c r="E18" i="1"/>
  <c r="F18" i="1"/>
  <c r="AC32" i="6"/>
  <c r="R29" i="1"/>
  <c r="Y17" i="1"/>
  <c r="W17" i="1"/>
  <c r="S17" i="1"/>
  <c r="P28" i="1"/>
  <c r="D17" i="1"/>
  <c r="AC30" i="1"/>
  <c r="O28" i="1"/>
  <c r="AC28" i="1" s="1"/>
  <c r="T17" i="1"/>
  <c r="AA17" i="1"/>
  <c r="L17" i="1"/>
  <c r="X28" i="1"/>
  <c r="R17" i="1"/>
  <c r="AC33" i="5"/>
  <c r="F17" i="1"/>
  <c r="N17" i="1"/>
  <c r="V17" i="1"/>
  <c r="AC27" i="1"/>
  <c r="V33" i="1"/>
  <c r="X27" i="1"/>
  <c r="I27" i="1"/>
  <c r="Q27" i="1"/>
  <c r="Y27" i="1"/>
  <c r="H27" i="1"/>
  <c r="AC33" i="4"/>
  <c r="P27" i="1"/>
  <c r="P33" i="1" s="1"/>
  <c r="F16" i="1"/>
  <c r="N16" i="1"/>
  <c r="V16" i="1"/>
  <c r="AC32" i="1"/>
  <c r="AC31" i="1"/>
  <c r="F15" i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F33" i="1"/>
  <c r="G33" i="1"/>
  <c r="D15" i="1"/>
  <c r="D33" i="1"/>
  <c r="J15" i="1"/>
  <c r="J33" i="1"/>
  <c r="AH10" i="1"/>
  <c r="AI10" i="1"/>
  <c r="Q14" i="1"/>
  <c r="Q25" i="1"/>
  <c r="Q33" i="1" s="1"/>
  <c r="AI6" i="1"/>
  <c r="AH6" i="1"/>
  <c r="H26" i="1"/>
  <c r="H15" i="1"/>
  <c r="AA14" i="1"/>
  <c r="AA25" i="1"/>
  <c r="O14" i="1"/>
  <c r="O25" i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C29" i="1" l="1"/>
  <c r="O33" i="1"/>
  <c r="AJ6" i="1"/>
  <c r="AA26" i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<sst xmlns="http://schemas.openxmlformats.org/spreadsheetml/2006/main" count="413" uniqueCount="91">
  <si>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</si>
  <si>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</si>
  <si>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</si>
  <si>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</si>
  <si>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</si>
  <si>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</si>
  <si>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</si>
  <si>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</si>
  <si>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</si>
  <si>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</si>
  <si>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</si>
  <si>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</si>
  <si>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</si>
  <si>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</si>
  <si>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</si>
  <si>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</si>
  <si>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</si>
  <si>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</si>
  <si>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</si>
  <si>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</si>
  <si>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</si>
  <si>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</si>
  <si>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</si>
  <si>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</si>
  <si>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</si>
  <si>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</si>
  <si>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</si>
  <si>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</si>
  <si>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</si>
  <si>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</si>
  <si>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</si>
  <si>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</si>
  <si>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</si>
  <si>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</si>
  <si>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</si>
  <si>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</si>
  <si>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</si>
  <si>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</si>
  <si>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</si>
  <si>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</si>
  <si>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</si>
  <si>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</si>
  <si>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</si>
  <si>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</si>
  <si>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</si>
  <si>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</si>
  <si>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</si>
  <si>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</si>
  <si>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</si>
  <si>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</si>
  <si>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</si>
  <si>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</si>
  <si>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</si>
  <si>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</si>
  <si>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</si>
  <si>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</si>
  <si>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</si>
  <si>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</si>
  <si>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</si>
  <si>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</si>
  <si>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</si>
  <si>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</si>
  <si>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</si>
  <si>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</si>
  <si>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</si>
  <si>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</si>
  <si>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</si>
  <si>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</si>
  <si>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</si>
  <si>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</si>
  <si>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</si>
  <si>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</si>
  <si>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</si>
  <si>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</si>
  <si>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</si>
  <si>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</si>
  <si>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</si>
  <si>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</si>
  <si>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</si>
  <si>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</si>
  <si>
    <t>luces spot</t>
  </si>
  <si>
    <t>comepa</t>
  </si>
  <si>
    <t>resistencia calefon</t>
  </si>
  <si>
    <t>Cena Berni</t>
  </si>
  <si>
    <t>3 comepa</t>
  </si>
  <si>
    <t>envio zartenes</t>
  </si>
  <si>
    <t>regalo lolo</t>
  </si>
  <si>
    <t>farmacia</t>
  </si>
  <si>
    <t>disfraces roci</t>
  </si>
  <si>
    <t>circo</t>
  </si>
  <si>
    <t>gas y calefacción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</si>
</sst>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20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18" borderId="1" xfId="0" applyFill="1" applyBorder="1"/>
    <xf numFmtId="0" fontId="0" fillId="19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J54"/>
  <sheetViews>
    <sheetView topLeftCell="O1" zoomScaleNormal="100" workbookViewId="0">
      <selection activeCell="R11" sqref="R11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3" t="s">
        <v>0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3"/>
      <c r="Q1" s="43"/>
      <c r="R1" s="43"/>
      <c r="S1" s="43"/>
      <c r="T1" s="43"/>
      <c r="U1" s="43"/>
      <c r="V1" s="43"/>
      <c r="W1" s="43"/>
      <c r="X1" s="43"/>
      <c r="Y1" s="43"/>
      <c r="Z1" s="43"/>
      <c r="AA1" s="43"/>
      <c r="AB1" s="43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15691</v>
      </c>
      <c r="E6" s="1">
        <v>0</v>
      </c>
      <c r="F6" s="1">
        <v>28611</v>
      </c>
      <c r="G6" s="1">
        <v>1185</v>
      </c>
      <c r="H6" s="1">
        <v>3291.56</v>
      </c>
      <c r="I6" s="1">
        <v>3335.41</v>
      </c>
      <c r="J6" s="1">
        <v>700</v>
      </c>
      <c r="K6" s="1">
        <v>18000</v>
      </c>
      <c r="L6" s="1">
        <v>14000</v>
      </c>
      <c r="M6" s="1">
        <v>19000</v>
      </c>
      <c r="N6" s="1">
        <v>810</v>
      </c>
      <c r="O6" s="1">
        <v>8000</v>
      </c>
      <c r="P6" s="1">
        <v>1800</v>
      </c>
      <c r="Q6" s="1">
        <v>0</v>
      </c>
      <c r="R6" s="1">
        <v>20000</v>
      </c>
      <c r="S6" s="1">
        <v>2500</v>
      </c>
      <c r="T6" s="1">
        <v>5000</v>
      </c>
      <c r="X6" s="1">
        <v>1500</v>
      </c>
      <c r="Y6" s="1">
        <v>4000</v>
      </c>
      <c r="AA6" s="1">
        <v>5000</v>
      </c>
      <c r="AB6" s="6"/>
      <c r="AC6" s="1">
        <f>SUM(B6:AB6)</f>
        <v>152423.97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57211.985000000001</v>
      </c>
      <c r="AI6" s="9">
        <f t="shared" si="4"/>
        <v>60520.985000000001</v>
      </c>
      <c r="AJ6" s="10">
        <f t="shared" si="5"/>
        <v>117732.97</v>
      </c>
    </row>
    <row r="7" spans="1:36" ht="15" customHeight="1" x14ac:dyDescent="0.25">
      <c r="A7" s="1" t="s">
        <v>41</v>
      </c>
      <c r="C7" s="1">
        <v>4369</v>
      </c>
      <c r="D7" s="1">
        <v>15706.32</v>
      </c>
      <c r="E7" s="1">
        <v>500</v>
      </c>
      <c r="F7" s="1">
        <v>27500</v>
      </c>
      <c r="H7" s="1">
        <v>3300</v>
      </c>
      <c r="I7" s="1">
        <v>3750</v>
      </c>
      <c r="J7" s="1">
        <v>1000</v>
      </c>
      <c r="K7" s="1">
        <v>23200</v>
      </c>
      <c r="L7" s="1">
        <v>7505</v>
      </c>
      <c r="M7" s="1">
        <v>23000</v>
      </c>
      <c r="N7" s="1">
        <v>810</v>
      </c>
      <c r="O7" s="1">
        <v>8000</v>
      </c>
      <c r="P7" s="1">
        <v>1800</v>
      </c>
      <c r="Q7" s="1">
        <v>2500</v>
      </c>
      <c r="R7" s="1">
        <v>19000</v>
      </c>
      <c r="S7" s="1">
        <v>2000</v>
      </c>
      <c r="T7" s="1">
        <v>5000</v>
      </c>
      <c r="U7" s="1">
        <v>13115</v>
      </c>
      <c r="V7" s="1">
        <v>1500</v>
      </c>
      <c r="W7" s="1">
        <v>3000</v>
      </c>
      <c r="X7" s="1">
        <v>800</v>
      </c>
      <c r="Y7" s="1">
        <v>2000</v>
      </c>
      <c r="AA7" s="1">
        <v>5000</v>
      </c>
      <c r="AB7" s="6"/>
      <c r="AC7" s="1">
        <f t="shared" si="0"/>
        <v>174355.32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64177.66</v>
      </c>
      <c r="AI7" s="9">
        <f t="shared" si="4"/>
        <v>71471.34</v>
      </c>
      <c r="AJ7" s="10">
        <f t="shared" si="5"/>
        <v>135649</v>
      </c>
    </row>
    <row r="8" spans="1:36" ht="15" customHeight="1" x14ac:dyDescent="0.25">
      <c r="A8" s="1" t="s">
        <v>42</v>
      </c>
      <c r="B8" s="1">
        <v>25000</v>
      </c>
      <c r="D8" s="1">
        <v>15750</v>
      </c>
      <c r="E8" s="1">
        <v>0</v>
      </c>
      <c r="F8" s="1">
        <v>27500</v>
      </c>
      <c r="G8" s="1">
        <v>2200</v>
      </c>
      <c r="H8" s="1">
        <v>3300</v>
      </c>
      <c r="I8" s="1">
        <v>3000</v>
      </c>
      <c r="J8" s="1">
        <v>700</v>
      </c>
      <c r="K8" s="1">
        <v>26738</v>
      </c>
      <c r="L8" s="1">
        <v>12000</v>
      </c>
      <c r="M8" s="1">
        <v>15000</v>
      </c>
      <c r="N8" s="1">
        <v>810</v>
      </c>
      <c r="O8" s="1">
        <v>4400</v>
      </c>
      <c r="P8" s="1">
        <v>3600</v>
      </c>
      <c r="Q8" s="1">
        <v>2500</v>
      </c>
      <c r="R8" s="1">
        <v>20000</v>
      </c>
      <c r="S8" s="1">
        <v>2000</v>
      </c>
      <c r="T8" s="1">
        <v>5000</v>
      </c>
      <c r="W8" s="1">
        <v>3000</v>
      </c>
      <c r="X8" s="1">
        <v>800</v>
      </c>
      <c r="Y8" s="1">
        <v>2000</v>
      </c>
      <c r="AA8" s="1">
        <v>5000</v>
      </c>
      <c r="AB8" s="6"/>
      <c r="AC8" s="1">
        <f>SUM(B8:AB8)</f>
        <v>180298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75149</v>
      </c>
      <c r="AI8" s="9">
        <f t="shared" si="4"/>
        <v>74399</v>
      </c>
      <c r="AJ8" s="10">
        <f t="shared" si="5"/>
        <v>149548</v>
      </c>
    </row>
    <row r="9" spans="1:36" ht="15" customHeight="1" x14ac:dyDescent="0.25">
      <c r="A9" s="1" t="s">
        <v>43</v>
      </c>
      <c r="C9" s="1">
        <v>4369</v>
      </c>
      <c r="D9" s="1">
        <v>15800</v>
      </c>
      <c r="E9" s="1">
        <v>0</v>
      </c>
      <c r="F9" s="1">
        <v>27500</v>
      </c>
      <c r="G9" s="1">
        <v>1100</v>
      </c>
      <c r="H9" s="1">
        <v>3300</v>
      </c>
      <c r="I9" s="1">
        <v>3000</v>
      </c>
      <c r="J9" s="1">
        <v>700</v>
      </c>
      <c r="K9" s="1">
        <v>18000</v>
      </c>
      <c r="L9" s="1">
        <v>10000</v>
      </c>
      <c r="M9" s="1">
        <v>7500</v>
      </c>
      <c r="N9" s="1">
        <v>810</v>
      </c>
      <c r="O9" s="1">
        <v>4400</v>
      </c>
      <c r="P9" s="1">
        <v>3600</v>
      </c>
      <c r="Q9" s="1">
        <v>2500</v>
      </c>
      <c r="R9" s="1">
        <v>20000</v>
      </c>
      <c r="S9" s="1">
        <v>2000</v>
      </c>
      <c r="T9" s="1">
        <v>5000</v>
      </c>
      <c r="W9" s="1">
        <v>3000</v>
      </c>
      <c r="X9" s="1">
        <v>800</v>
      </c>
      <c r="Y9" s="1">
        <v>2000</v>
      </c>
      <c r="AA9" s="1">
        <v>5000</v>
      </c>
      <c r="AB9" s="6"/>
      <c r="AC9" s="1">
        <f t="shared" si="0"/>
        <v>140379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62689.5</v>
      </c>
      <c r="AI9" s="9">
        <f t="shared" si="4"/>
        <v>54389.5</v>
      </c>
      <c r="AJ9" s="10">
        <f t="shared" si="5"/>
        <v>117079</v>
      </c>
    </row>
    <row r="10" spans="1:36" ht="15" customHeight="1" x14ac:dyDescent="0.25">
      <c r="A10" s="1" t="s">
        <v>44</v>
      </c>
      <c r="D10" s="1">
        <v>15800</v>
      </c>
      <c r="E10" s="1">
        <v>0</v>
      </c>
      <c r="F10" s="1">
        <v>45000</v>
      </c>
      <c r="G10" s="1">
        <v>1100</v>
      </c>
      <c r="H10" s="1">
        <v>3300</v>
      </c>
      <c r="I10" s="1">
        <v>3000</v>
      </c>
      <c r="J10" s="1">
        <v>700</v>
      </c>
      <c r="K10" s="1">
        <v>18000</v>
      </c>
      <c r="L10" s="1">
        <v>10000</v>
      </c>
      <c r="M10" s="1">
        <v>7500</v>
      </c>
      <c r="N10" s="1">
        <v>810</v>
      </c>
      <c r="O10" s="1">
        <v>4400</v>
      </c>
      <c r="P10" s="1">
        <v>3600</v>
      </c>
      <c r="Q10" s="1">
        <v>2500</v>
      </c>
      <c r="R10" s="1">
        <v>20000</v>
      </c>
      <c r="S10" s="1">
        <v>2000</v>
      </c>
      <c r="T10" s="1">
        <v>5000</v>
      </c>
      <c r="W10" s="1">
        <v>3000</v>
      </c>
      <c r="X10" s="1">
        <v>800</v>
      </c>
      <c r="Y10" s="1">
        <v>2000</v>
      </c>
      <c r="AA10" s="1">
        <v>5000</v>
      </c>
      <c r="AB10" s="6"/>
      <c r="AC10" s="1">
        <f t="shared" si="0"/>
        <v>153510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69255</v>
      </c>
      <c r="AI10" s="9">
        <f t="shared" si="4"/>
        <v>60955</v>
      </c>
      <c r="AJ10" s="10">
        <f t="shared" si="5"/>
        <v>130210</v>
      </c>
    </row>
    <row r="12" spans="1:36" ht="15" customHeight="1" x14ac:dyDescent="0.25">
      <c r="A12" s="44" t="s">
        <v>45</v>
      </c>
      <c r="B12" s="44"/>
      <c r="C12" s="44"/>
      <c r="D12" s="44"/>
      <c r="E12" s="44"/>
      <c r="F12" s="44"/>
      <c r="G12" s="44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>
        <f>IF(Junio!O32&gt;0,Junio!O32,"")</f>
        <v>804.4</v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19626.129999999997</v>
      </c>
      <c r="S15" s="1">
        <f>IF(Junio!S32&gt;0,Junio!S32,"")</f>
        <v>2295.1999999999998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>
        <f>IF(Julio!C33&gt;0,Julio!C33,"")</f>
        <v>4369</v>
      </c>
      <c r="D16" s="1">
        <f>IF(Julio!D33&gt;0,Julio!D33,"")</f>
        <v>15600</v>
      </c>
      <c r="E16" s="1" t="str">
        <f>IF(Julio!E33&gt;0,Julio!E33,"")</f>
        <v/>
      </c>
      <c r="F16" s="1">
        <f>IF(Julio!F33&gt;0,Julio!F33,"")</f>
        <v>26100</v>
      </c>
      <c r="G16" s="1">
        <f>IF(Julio!G33&gt;0,Julio!G33,"")</f>
        <v>1000</v>
      </c>
      <c r="H16" s="1">
        <f>IF(Julio!H33&gt;0,Julio!H33,"")</f>
        <v>3500</v>
      </c>
      <c r="I16" s="1">
        <f>IF(Julio!I33&gt;0,Julio!I33,"")</f>
        <v>3000</v>
      </c>
      <c r="J16" s="1">
        <f>IF(Julio!J33&gt;0,Julio!J33,"")</f>
        <v>1000</v>
      </c>
      <c r="K16" s="1">
        <f>IF(Julio!K33&gt;0,Julio!K33,"")</f>
        <v>17700</v>
      </c>
      <c r="L16" s="1">
        <f>IF(Julio!L33&gt;0,Julio!L33,"")</f>
        <v>7500</v>
      </c>
      <c r="M16" s="1">
        <f>IF(Julio!M33&gt;0,Julio!M33,"")</f>
        <v>7500</v>
      </c>
      <c r="N16" s="1">
        <f>IF(Julio!N33&gt;0,Julio!N33,"")</f>
        <v>850</v>
      </c>
      <c r="O16" s="1">
        <f>IF(Julio!O33&gt;0,Julio!O33,"")</f>
        <v>4400</v>
      </c>
      <c r="P16" s="1">
        <f>IF(Julio!P33&gt;0,Julio!P33,"")</f>
        <v>1800</v>
      </c>
      <c r="Q16" s="1">
        <f>IF(Julio!Q33&gt;0,Julio!Q33,"")</f>
        <v>2500</v>
      </c>
      <c r="R16" s="1">
        <f>IF(Julio!R33&gt;0,Julio!R33,"")</f>
        <v>20000</v>
      </c>
      <c r="S16" s="1">
        <f>IF(Julio!S33&gt;0,Julio!S33,"")</f>
        <v>2500</v>
      </c>
      <c r="T16" s="1">
        <f>IF(Julio!T33&gt;0,Julio!T33,"")</f>
        <v>5000</v>
      </c>
      <c r="U16" s="1" t="str">
        <f>IF(Julio!U33&gt;0,Julio!U33,"")</f>
        <v/>
      </c>
      <c r="V16" s="1">
        <f>IF(Julio!V33&gt;0,Julio!V33,"")</f>
        <v>1500</v>
      </c>
      <c r="W16" s="1">
        <f>IF(Julio!W33&gt;0,Julio!W33,"")</f>
        <v>3000</v>
      </c>
      <c r="X16" s="1">
        <f>IF(Julio!X33&gt;0,Julio!X33,"")</f>
        <v>1500</v>
      </c>
      <c r="Y16" s="1">
        <f>IF(Julio!Y33&gt;0,Julio!Y33,"")</f>
        <v>2000</v>
      </c>
      <c r="Z16" s="1" t="str">
        <f>IF(Julio!Z33&gt;0,Julio!Z33,"")</f>
        <v/>
      </c>
      <c r="AA16" s="1">
        <f>IF(Julio!AA33&gt;0,Julio!AA33,"")</f>
        <v>5000</v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>
        <f>IF(Agosto!D33&gt;0,Agosto!D33,"")</f>
        <v>15691</v>
      </c>
      <c r="E17" s="1" t="str">
        <f>IF(Agosto!E33&gt;0,Agosto!E33,"")</f>
        <v/>
      </c>
      <c r="F17" s="1">
        <f>IF(Agosto!F33&gt;0,Agosto!F33,"")</f>
        <v>28611</v>
      </c>
      <c r="G17" s="1">
        <f>IF(Agosto!G33&gt;0,Agosto!G33,"")</f>
        <v>1185</v>
      </c>
      <c r="H17" s="1">
        <f>IF(Agosto!H33&gt;0,Agosto!H33,"")</f>
        <v>3291.56</v>
      </c>
      <c r="I17" s="1">
        <f>IF(Agosto!I33&gt;0,Agosto!I33,"")</f>
        <v>3335.41</v>
      </c>
      <c r="J17" s="1">
        <f>IF(Agosto!J33&gt;0,Agosto!J33,"")</f>
        <v>700</v>
      </c>
      <c r="K17" s="1">
        <f>IF(Agosto!K33&gt;0,Agosto!K33,"")</f>
        <v>17999.740000000002</v>
      </c>
      <c r="L17" s="1">
        <f>IF(Agosto!L33&gt;0,Agosto!L33,"")</f>
        <v>13997.56</v>
      </c>
      <c r="M17" s="1">
        <f>IF(Agosto!M33&gt;0,Agosto!M33,"")</f>
        <v>19000</v>
      </c>
      <c r="N17" s="1">
        <f>IF(Agosto!N33&gt;0,Agosto!N33,"")</f>
        <v>810</v>
      </c>
      <c r="O17" s="1">
        <f>IF(Agosto!O33&gt;0,Agosto!O33,"")</f>
        <v>13308.64</v>
      </c>
      <c r="P17" s="1">
        <f>IF(Agosto!P33&gt;0,Agosto!P33,"")</f>
        <v>1800</v>
      </c>
      <c r="Q17" s="1" t="str">
        <f>IF(Agosto!Q33&gt;0,Agosto!Q33,"")</f>
        <v/>
      </c>
      <c r="R17" s="1">
        <f>IF(Agosto!R33&gt;0,Agosto!R33,"")</f>
        <v>16436.79</v>
      </c>
      <c r="S17" s="1">
        <f>IF(Agosto!S33&gt;0,Agosto!S33,"")</f>
        <v>2458.12</v>
      </c>
      <c r="T17" s="1">
        <f>IF(Agosto!T33&gt;0,Agosto!T33,"")</f>
        <v>5511.4699999999993</v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>
        <f>IF(Agosto!X33&gt;0,Agosto!X33,"")</f>
        <v>396.21000000000004</v>
      </c>
      <c r="Y17" s="1">
        <f>IF(Agosto!Y33&gt;0,Agosto!Y33,"")</f>
        <v>3019.08</v>
      </c>
      <c r="Z17" s="1" t="str">
        <f>IF(Agosto!Z33&gt;0,Agosto!Z33,"")</f>
        <v/>
      </c>
      <c r="AA17" s="1">
        <f>IF(Agosto!AA33&gt;0,Agosto!AA33,"")</f>
        <v>6388.06</v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>
        <f>IF(Setiembre!C32&gt;0,Setiembre!C32,"")</f>
        <v>4369</v>
      </c>
      <c r="D18" s="1">
        <f>IF(Setiembre!D32&gt;0,Setiembre!D32,"")</f>
        <v>15706.32</v>
      </c>
      <c r="E18" s="1">
        <f>IF(Setiembre!E32&gt;0,Setiembre!E32,"")</f>
        <v>498</v>
      </c>
      <c r="F18" s="1">
        <f>IF(Setiembre!F32&gt;0,Setiembre!F32,"")</f>
        <v>26792</v>
      </c>
      <c r="G18" s="1" t="str">
        <f>IF(Setiembre!G32&gt;0,Setiembre!G32,"")</f>
        <v/>
      </c>
      <c r="H18" s="1">
        <f>IF(Setiembre!H32&gt;0,Setiembre!H32,"")</f>
        <v>3291.56</v>
      </c>
      <c r="I18" s="1">
        <f>IF(Setiembre!I32&gt;0,Setiembre!I32,"")</f>
        <v>3687.55</v>
      </c>
      <c r="J18" s="1">
        <f>IF(Setiembre!J32&gt;0,Setiembre!J32,"")</f>
        <v>1000</v>
      </c>
      <c r="K18" s="1">
        <f>IF(Setiembre!K32&gt;0,Setiembre!K32,"")</f>
        <v>23112.77</v>
      </c>
      <c r="L18" s="1">
        <f>IF(Setiembre!L32&gt;0,Setiembre!L32,"")</f>
        <v>7502.34</v>
      </c>
      <c r="M18" s="1">
        <f>IF(Setiembre!M32&gt;0,Setiembre!M32,"")</f>
        <v>23081.75</v>
      </c>
      <c r="N18" s="1">
        <f>IF(Setiembre!N32&gt;0,Setiembre!N32,"")</f>
        <v>810</v>
      </c>
      <c r="O18" s="1">
        <f>IF(Setiembre!O32&gt;0,Setiembre!O32,"")</f>
        <v>3396.5300000000007</v>
      </c>
      <c r="P18" s="1">
        <f>IF(Setiembre!P32&gt;0,Setiembre!P32,"")</f>
        <v>3600</v>
      </c>
      <c r="Q18" s="1">
        <f>IF(Setiembre!Q32&gt;0,Setiembre!Q32,"")</f>
        <v>2508.1999999999998</v>
      </c>
      <c r="R18" s="1">
        <f>IF(Setiembre!R32&gt;0,Setiembre!R32,"")</f>
        <v>25897.909999999996</v>
      </c>
      <c r="S18" s="1">
        <f>IF(Setiembre!S32&gt;0,Setiembre!S32,"")</f>
        <v>1174.1399999999999</v>
      </c>
      <c r="T18" s="1">
        <f>IF(Setiembre!T32&gt;0,Setiembre!T32,"")</f>
        <v>2189.06</v>
      </c>
      <c r="U18" s="1">
        <f>IF(Setiembre!U32&gt;0,Setiembre!U32,"")</f>
        <v>13110.49</v>
      </c>
      <c r="V18" s="1" t="str">
        <f>IF(Setiembre!V32&gt;0,Setiembre!V32,"")</f>
        <v/>
      </c>
      <c r="W18" s="1">
        <f>IF(Setiembre!W32&gt;0,Setiembre!W32,"")</f>
        <v>3247.54</v>
      </c>
      <c r="X18" s="1">
        <f>IF(Setiembre!X32&gt;0,Setiembre!X32,"")</f>
        <v>215</v>
      </c>
      <c r="Y18" s="1" t="str">
        <f>IF(Setiembre!Y32&gt;0,Setiembre!Y32,"")</f>
        <v/>
      </c>
      <c r="Z18" s="1" t="str">
        <f>IF(Setiembre!Z32&gt;0,Setiembre!Z32,"")</f>
        <v/>
      </c>
      <c r="AA18" s="1">
        <f>IF(Setiembre!AA32&gt;0,Setiembre!AA32,"")</f>
        <v>2374.73</v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</row>
    <row r="23" spans="1:29" ht="15" customHeight="1" x14ac:dyDescent="0.25">
      <c r="A23" s="45" t="s">
        <v>48</v>
      </c>
      <c r="B23" s="45"/>
      <c r="C23" s="45"/>
      <c r="D23" s="45"/>
      <c r="E23" s="45"/>
      <c r="F23" s="45"/>
      <c r="G23" s="45"/>
      <c r="H23" s="45"/>
      <c r="I23" s="45"/>
      <c r="J23" s="45"/>
      <c r="K23" s="45"/>
      <c r="L23" s="45"/>
      <c r="M23" s="45"/>
      <c r="N23" s="45"/>
      <c r="O23" s="45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>
        <f>IF(ISNUMBER(Junio!O32),O4-Junio!O32,"")</f>
        <v>10195.6</v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373.87000000000262</v>
      </c>
      <c r="S26" s="1">
        <f>IF(ISNUMBER(Junio!S32),S4-Junio!S32,"")</f>
        <v>204.80000000000018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-22136.239999999994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>
        <f>IF(ISNUMBER(Julio!C33),C5-Julio!C33,"")</f>
        <v>0</v>
      </c>
      <c r="D27" s="1">
        <f>IF(ISNUMBER(Julio!D33),D5-Julio!D33,"")</f>
        <v>0</v>
      </c>
      <c r="E27" s="1">
        <f>IF(ISNUMBER(Julio!E33),E5-Julio!E33,"")</f>
        <v>0</v>
      </c>
      <c r="F27" s="1">
        <f>IF(ISNUMBER(Julio!F33),F5-Julio!F33,"")</f>
        <v>0</v>
      </c>
      <c r="G27" s="1">
        <f>IF(ISNUMBER(Julio!G33),G5-Julio!G33,"")</f>
        <v>0</v>
      </c>
      <c r="H27" s="1">
        <f>IF(ISNUMBER(Julio!H33),H5-Julio!H33,"")</f>
        <v>0</v>
      </c>
      <c r="I27" s="1">
        <f>IF(ISNUMBER(Julio!I33),I5-Julio!I33,"")</f>
        <v>0</v>
      </c>
      <c r="J27" s="1">
        <f>IF(ISNUMBER(Julio!J33),J5-Julio!J33,"")</f>
        <v>0</v>
      </c>
      <c r="K27" s="1">
        <f>IF(ISNUMBER(Julio!K33),K5-Julio!K33,"")</f>
        <v>0</v>
      </c>
      <c r="L27" s="1">
        <f>IF(ISNUMBER(Julio!L33),L5-Julio!L33,"")</f>
        <v>0</v>
      </c>
      <c r="M27" s="1">
        <f>IF(ISNUMBER(Julio!M33),M5-Julio!M33,"")</f>
        <v>0</v>
      </c>
      <c r="N27" s="1">
        <f>IF(ISNUMBER(Julio!N33),N5-Julio!N33,"")</f>
        <v>0</v>
      </c>
      <c r="O27" s="1">
        <f>IF(ISNUMBER(Julio!O33),O5-Julio!O33,"")</f>
        <v>0</v>
      </c>
      <c r="P27" s="1">
        <f>IF(ISNUMBER(Julio!P33),P5-Julio!P33,"")</f>
        <v>0</v>
      </c>
      <c r="Q27" s="1">
        <f>IF(ISNUMBER(Julio!Q33),Q5-Julio!Q33,"")</f>
        <v>0</v>
      </c>
      <c r="R27" s="1">
        <f>IF(ISNUMBER(Julio!R33),R5-Julio!R33,"")</f>
        <v>0</v>
      </c>
      <c r="S27" s="1">
        <f>IF(ISNUMBER(Julio!S33),S5-Julio!S33,"")</f>
        <v>0</v>
      </c>
      <c r="T27" s="1">
        <f>IF(ISNUMBER(Julio!T33),T5-Julio!T33,"")</f>
        <v>0</v>
      </c>
      <c r="U27" s="1" t="str">
        <f>IF(ISNUMBER(Julio!U33),U5-Julio!U33,"")</f>
        <v/>
      </c>
      <c r="V27" s="1">
        <f>IF(ISNUMBER(Julio!V33),V5-Julio!V33,"")</f>
        <v>0</v>
      </c>
      <c r="W27" s="1">
        <f>IF(ISNUMBER(Julio!W33),W5-Julio!W33,"")</f>
        <v>0</v>
      </c>
      <c r="X27" s="1">
        <f>IF(ISNUMBER(Julio!X33),X5-Julio!X33,"")</f>
        <v>0</v>
      </c>
      <c r="Y27" s="1">
        <f>IF(ISNUMBER(Julio!Y33),Y5-Julio!Y33,"")</f>
        <v>0</v>
      </c>
      <c r="Z27" s="1" t="str">
        <f>IF(ISNUMBER(Julio!Z33),Z5-Julio!Z33,"")</f>
        <v/>
      </c>
      <c r="AA27" s="1">
        <f>IF(ISNUMBER(Julio!AA33),AA5-Julio!AA33,"")</f>
        <v>0</v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>
        <f>IF(ISNUMBER(Agosto!D33),D6-Agosto!D33,"")</f>
        <v>0</v>
      </c>
      <c r="E28" s="1" t="str">
        <f>IF(ISNUMBER(Agosto!E33),E6-Agosto!E33,"")</f>
        <v/>
      </c>
      <c r="F28" s="1">
        <f>IF(ISNUMBER(Agosto!F33),F6-Agosto!F33,"")</f>
        <v>0</v>
      </c>
      <c r="G28" s="1">
        <f>IF(ISNUMBER(Agosto!G33),G6-Agosto!G33,"")</f>
        <v>0</v>
      </c>
      <c r="H28" s="1">
        <f>IF(ISNUMBER(Agosto!H33),H6-Agosto!H33,"")</f>
        <v>0</v>
      </c>
      <c r="I28" s="1">
        <f>IF(ISNUMBER(Agosto!I33),I6-Agosto!I33,"")</f>
        <v>0</v>
      </c>
      <c r="J28" s="1">
        <f>IF(ISNUMBER(Agosto!J33),J6-Agosto!J33,"")</f>
        <v>0</v>
      </c>
      <c r="K28" s="1">
        <f>IF(ISNUMBER(Agosto!K33),K6-Agosto!K33,"")</f>
        <v>0.25999999999839929</v>
      </c>
      <c r="L28" s="1">
        <f>IF(ISNUMBER(Agosto!L33),L6-Agosto!L33,"")</f>
        <v>2.4400000000005093</v>
      </c>
      <c r="M28" s="1">
        <f>IF(ISNUMBER(Agosto!M33),M6-Agosto!M33,"")</f>
        <v>0</v>
      </c>
      <c r="N28" s="1">
        <f>IF(ISNUMBER(Agosto!N33),N6-Agosto!N33,"")</f>
        <v>0</v>
      </c>
      <c r="O28" s="1">
        <f>IF(ISNUMBER(Agosto!O33),O6-Agosto!O33,"")</f>
        <v>-5308.6399999999994</v>
      </c>
      <c r="P28" s="1">
        <f>IF(ISNUMBER(Agosto!P33),P6-Agosto!P33,"")</f>
        <v>0</v>
      </c>
      <c r="Q28" s="1" t="str">
        <f>IF(ISNUMBER(Agosto!Q33),Q6-Agosto!Q33,"")</f>
        <v/>
      </c>
      <c r="R28" s="1">
        <f>IF(ISNUMBER(Agosto!R33),R6-Agosto!R33,"")</f>
        <v>3563.2099999999991</v>
      </c>
      <c r="S28" s="1">
        <f>IF(ISNUMBER(Agosto!S33),S6-Agosto!S33,"")</f>
        <v>41.880000000000109</v>
      </c>
      <c r="T28" s="1">
        <f>IF(ISNUMBER(Agosto!T33),T6-Agosto!T33,"")</f>
        <v>-511.46999999999935</v>
      </c>
      <c r="U28" s="1">
        <f>IF(ISNUMBER(Agosto!U33),U6-Agosto!U33,"")</f>
        <v>0</v>
      </c>
      <c r="V28" s="1">
        <f>IF(ISNUMBER(Agosto!V33),V6-Agosto!V33,"")</f>
        <v>0</v>
      </c>
      <c r="W28" s="1" t="str">
        <f>IF(ISNUMBER(Agosto!W33),W6-Agosto!W33,"")</f>
        <v/>
      </c>
      <c r="X28" s="1">
        <f>IF(ISNUMBER(Agosto!X33),X6-Agosto!X33,"")</f>
        <v>1103.79</v>
      </c>
      <c r="Y28" s="1">
        <f>IF(ISNUMBER(Agosto!Y33),Y6-Agosto!Y33,"")</f>
        <v>980.92000000000007</v>
      </c>
      <c r="Z28" s="1" t="str">
        <f>IF(ISNUMBER(Agosto!Z33),Z6-Agosto!Z33,"")</f>
        <v/>
      </c>
      <c r="AA28" s="1">
        <f>IF(ISNUMBER(Agosto!AA33),AA6-Agosto!AA33,"")</f>
        <v>-1388.0600000000004</v>
      </c>
      <c r="AC28" s="12">
        <f t="shared" si="7"/>
        <v>-1515.670000000001</v>
      </c>
    </row>
    <row r="29" spans="1:29" ht="15" customHeight="1" x14ac:dyDescent="0.25">
      <c r="A29" s="1" t="s">
        <v>41</v>
      </c>
      <c r="B29" s="1" t="str">
        <f>IF(ISNUMBER(Setiembre!B32),B8-Setiembre!B32,"")</f>
        <v/>
      </c>
      <c r="C29" s="1">
        <f>IF(ISNUMBER(Setiembre!C32),C7-Setiembre!C32,"")</f>
        <v>0</v>
      </c>
      <c r="D29" s="1">
        <f>IF(ISNUMBER(Setiembre!D32),D7-Setiembre!D32,"")</f>
        <v>0</v>
      </c>
      <c r="E29" s="1">
        <f>IF(ISNUMBER(Setiembre!E32),E7-Setiembre!E32,"")</f>
        <v>2</v>
      </c>
      <c r="F29" s="1">
        <f>IF(ISNUMBER(Setiembre!F32),F7-Setiembre!F32,"")</f>
        <v>708</v>
      </c>
      <c r="G29" s="1" t="str">
        <f>IF(ISNUMBER(Setiembre!G32),G7-Setiembre!G32,"")</f>
        <v/>
      </c>
      <c r="H29" s="1">
        <f>IF(ISNUMBER(Setiembre!H32),H7-Setiembre!H32,"")</f>
        <v>8.4400000000000546</v>
      </c>
      <c r="I29" s="1">
        <f>IF(ISNUMBER(Setiembre!I32),I7-Setiembre!I32,"")</f>
        <v>62.449999999999818</v>
      </c>
      <c r="J29" s="1">
        <f>IF(ISNUMBER(Setiembre!J32),J7-Setiembre!J32,"")</f>
        <v>0</v>
      </c>
      <c r="K29" s="1">
        <f>IF(ISNUMBER(Setiembre!K32),K7-Setiembre!K32,"")</f>
        <v>87.229999999999563</v>
      </c>
      <c r="L29" s="1">
        <f>IF(ISNUMBER(Setiembre!L32),L7-Setiembre!L32,"")</f>
        <v>2.6599999999998545</v>
      </c>
      <c r="M29" s="1">
        <f>IF(ISNUMBER(Setiembre!M32),M7-Setiembre!M32,"")</f>
        <v>-81.75</v>
      </c>
      <c r="N29" s="1">
        <f>IF(ISNUMBER(Setiembre!N32),N7-Setiembre!N32,"")</f>
        <v>0</v>
      </c>
      <c r="O29" s="1">
        <f>IF(ISNUMBER(Setiembre!O32),O7-Setiembre!O32,"")</f>
        <v>4603.4699999999993</v>
      </c>
      <c r="P29" s="1">
        <f>IF(ISNUMBER(Setiembre!P32),P7-Setiembre!P32,"")</f>
        <v>-1800</v>
      </c>
      <c r="Q29" s="1">
        <f>IF(ISNUMBER(Setiembre!Q32),Q7-Setiembre!Q32,"")</f>
        <v>-8.1999999999998181</v>
      </c>
      <c r="R29" s="1">
        <f>IF(ISNUMBER(Setiembre!R32),R7-Setiembre!R32,"")</f>
        <v>-6897.9099999999962</v>
      </c>
      <c r="S29" s="1">
        <f>IF(ISNUMBER(Setiembre!S32),S7-Setiembre!S32,"")</f>
        <v>825.86000000000013</v>
      </c>
      <c r="T29" s="1">
        <f>IF(ISNUMBER(Setiembre!T32),T7-Setiembre!T32,"")</f>
        <v>2810.94</v>
      </c>
      <c r="U29" s="1">
        <f>IF(ISNUMBER(Setiembre!U32),U7-Setiembre!U32,"")</f>
        <v>4.5100000000002183</v>
      </c>
      <c r="V29" s="1" t="str">
        <f>IF(ISNUMBER(Setiembre!V32),V7-Setiembre!V32,"")</f>
        <v/>
      </c>
      <c r="W29" s="1">
        <f>IF(ISNUMBER(Setiembre!W32),W7-Setiembre!W32,"")</f>
        <v>-247.53999999999996</v>
      </c>
      <c r="X29" s="1">
        <f>IF(ISNUMBER(Setiembre!X32),X7-Setiembre!X32,"")</f>
        <v>585</v>
      </c>
      <c r="Y29" s="1" t="str">
        <f>IF(ISNUMBER(Setiembre!Y32),Y7-Setiembre!Y32,"")</f>
        <v/>
      </c>
      <c r="Z29" s="1" t="str">
        <f>IF(ISNUMBER(Setiembre!Z32),Z7-Setiembre!Z32,"")</f>
        <v/>
      </c>
      <c r="AA29" s="1">
        <f>IF(ISNUMBER(Setiembre!AA32),AA7-Setiembre!AA32,"")</f>
        <v>2625.27</v>
      </c>
      <c r="AC29" s="12">
        <f t="shared" si="7"/>
        <v>3290.4300000000026</v>
      </c>
    </row>
    <row r="30" spans="1:29" ht="15" customHeight="1" x14ac:dyDescent="0.25">
      <c r="A30" s="1" t="s">
        <v>42</v>
      </c>
      <c r="B30" s="1" t="str">
        <f>IF(ISNUMBER(Octubre!B33),#REF!-Octubre!B33,"")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-358.81999999999971</v>
      </c>
      <c r="F33" s="12">
        <f t="shared" si="8"/>
        <v>-1178</v>
      </c>
      <c r="G33" s="12">
        <f t="shared" si="8"/>
        <v>5</v>
      </c>
      <c r="H33" s="12">
        <f t="shared" si="8"/>
        <v>425.32000000000016</v>
      </c>
      <c r="I33" s="12">
        <f t="shared" si="8"/>
        <v>1076.5399999999995</v>
      </c>
      <c r="J33" s="12">
        <f t="shared" si="8"/>
        <v>300</v>
      </c>
      <c r="K33" s="12">
        <f t="shared" si="8"/>
        <v>101.29999999999791</v>
      </c>
      <c r="L33" s="12">
        <f t="shared" si="8"/>
        <v>332.19999999999709</v>
      </c>
      <c r="M33" s="12">
        <f t="shared" si="8"/>
        <v>-13678.119999999999</v>
      </c>
      <c r="N33" s="12">
        <f t="shared" si="8"/>
        <v>80</v>
      </c>
      <c r="O33" s="12">
        <f t="shared" si="8"/>
        <v>10709.67</v>
      </c>
      <c r="P33" s="12">
        <f t="shared" si="8"/>
        <v>0</v>
      </c>
      <c r="Q33" s="12">
        <f t="shared" si="8"/>
        <v>42.620000000000346</v>
      </c>
      <c r="R33" s="12">
        <f t="shared" si="8"/>
        <v>-2580.0399999999972</v>
      </c>
      <c r="S33" s="12">
        <f t="shared" si="8"/>
        <v>2761.5400000000004</v>
      </c>
      <c r="T33" s="12">
        <f t="shared" si="8"/>
        <v>4037.9700000000007</v>
      </c>
      <c r="U33" s="12">
        <f t="shared" si="8"/>
        <v>619.26000000000022</v>
      </c>
      <c r="V33" s="12">
        <f t="shared" si="8"/>
        <v>0</v>
      </c>
      <c r="W33" s="12">
        <f t="shared" si="8"/>
        <v>1483.6</v>
      </c>
      <c r="X33" s="12">
        <f t="shared" si="8"/>
        <v>3764.7</v>
      </c>
      <c r="Y33" s="12">
        <f t="shared" si="8"/>
        <v>767.64000000000033</v>
      </c>
      <c r="Z33" s="12">
        <f t="shared" si="8"/>
        <v>-1650</v>
      </c>
      <c r="AA33" s="12">
        <f t="shared" si="8"/>
        <v>-15313.599999999999</v>
      </c>
      <c r="AC33" s="12">
        <f t="shared" si="7"/>
        <v>-8194.5099999999984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E32"/>
  <sheetViews>
    <sheetView zoomScaleNormal="100" workbookViewId="0">
      <selection activeCell="A11" sqref="A11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1001</v>
      </c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1001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>
        <v>-196.6</v>
      </c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>
        <f>1780-29.18+462-8.26+394-6.46+815-13.36+983+370-6.07+1052+1264-21.22+909-14.9+2461-40.34+1500-24.59+1250</f>
        <v>13075.619999999999</v>
      </c>
      <c r="AD22" s="35">
        <f t="shared" si="0"/>
        <v>-196.6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>
        <f>1340.91-S25-22.9</f>
        <v>401.0100000000001</v>
      </c>
      <c r="S25" s="35">
        <v>917</v>
      </c>
      <c r="T25" s="35"/>
      <c r="U25" s="35"/>
      <c r="V25" s="35"/>
      <c r="W25" s="35"/>
      <c r="X25" s="35"/>
      <c r="Y25" s="35"/>
      <c r="Z25" s="35"/>
      <c r="AA25" s="35"/>
      <c r="AB25" s="35"/>
      <c r="AC25" s="36">
        <v>509</v>
      </c>
      <c r="AD25" s="35">
        <f t="shared" si="0"/>
        <v>1318.0100000000002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>
        <f t="shared" si="1"/>
        <v>804.4</v>
      </c>
      <c r="P32" s="12">
        <f t="shared" si="1"/>
        <v>1800</v>
      </c>
      <c r="Q32" s="12" t="str">
        <f t="shared" si="1"/>
        <v/>
      </c>
      <c r="R32" s="12">
        <f t="shared" si="1"/>
        <v>19626.129999999997</v>
      </c>
      <c r="S32" s="12">
        <f t="shared" si="1"/>
        <v>2295.1999999999998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17322.899999999998</v>
      </c>
      <c r="AD32" s="12">
        <f t="shared" si="1"/>
        <v>160086.24000000002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E27" sqref="E27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>
        <v>4369</v>
      </c>
      <c r="D32" s="35">
        <v>15600</v>
      </c>
      <c r="E32" s="35">
        <v>0</v>
      </c>
      <c r="F32" s="35">
        <v>26100</v>
      </c>
      <c r="G32" s="35">
        <v>1000</v>
      </c>
      <c r="H32" s="35">
        <v>3500</v>
      </c>
      <c r="I32" s="35">
        <v>3000</v>
      </c>
      <c r="J32" s="35">
        <v>1000</v>
      </c>
      <c r="K32" s="35">
        <v>17700</v>
      </c>
      <c r="L32" s="35">
        <v>7500</v>
      </c>
      <c r="M32" s="35">
        <v>7500</v>
      </c>
      <c r="N32" s="35">
        <v>850</v>
      </c>
      <c r="O32" s="35">
        <v>4400</v>
      </c>
      <c r="P32" s="35">
        <v>1800</v>
      </c>
      <c r="Q32" s="35">
        <v>2500</v>
      </c>
      <c r="R32" s="35">
        <v>20000</v>
      </c>
      <c r="S32" s="35">
        <v>2500</v>
      </c>
      <c r="T32" s="35">
        <v>5000</v>
      </c>
      <c r="U32" s="35"/>
      <c r="V32" s="35">
        <v>1500</v>
      </c>
      <c r="W32" s="35">
        <v>3000</v>
      </c>
      <c r="X32" s="35">
        <v>1500</v>
      </c>
      <c r="Y32" s="35">
        <v>2000</v>
      </c>
      <c r="Z32" s="35"/>
      <c r="AA32" s="35">
        <v>5000</v>
      </c>
      <c r="AB32" s="36"/>
      <c r="AC32" s="35">
        <f t="shared" si="0"/>
        <v>137319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>
        <f t="shared" si="1"/>
        <v>4369</v>
      </c>
      <c r="D33" s="12">
        <f t="shared" si="1"/>
        <v>15600</v>
      </c>
      <c r="E33" s="12">
        <f t="shared" si="1"/>
        <v>0</v>
      </c>
      <c r="F33" s="12">
        <f t="shared" si="1"/>
        <v>26100</v>
      </c>
      <c r="G33" s="12">
        <f t="shared" si="1"/>
        <v>1000</v>
      </c>
      <c r="H33" s="12">
        <f t="shared" si="1"/>
        <v>3500</v>
      </c>
      <c r="I33" s="12">
        <f t="shared" si="1"/>
        <v>3000</v>
      </c>
      <c r="J33" s="12">
        <f t="shared" si="1"/>
        <v>1000</v>
      </c>
      <c r="K33" s="12">
        <f t="shared" si="1"/>
        <v>17700</v>
      </c>
      <c r="L33" s="12">
        <f t="shared" si="1"/>
        <v>7500</v>
      </c>
      <c r="M33" s="12">
        <f t="shared" si="1"/>
        <v>7500</v>
      </c>
      <c r="N33" s="12">
        <f t="shared" si="1"/>
        <v>850</v>
      </c>
      <c r="O33" s="12">
        <f t="shared" si="1"/>
        <v>4400</v>
      </c>
      <c r="P33" s="12">
        <f t="shared" si="1"/>
        <v>1800</v>
      </c>
      <c r="Q33" s="12">
        <f t="shared" si="1"/>
        <v>2500</v>
      </c>
      <c r="R33" s="12">
        <f t="shared" si="1"/>
        <v>20000</v>
      </c>
      <c r="S33" s="12">
        <f t="shared" si="1"/>
        <v>2500</v>
      </c>
      <c r="T33" s="12">
        <f t="shared" si="1"/>
        <v>5000</v>
      </c>
      <c r="U33" s="12" t="str">
        <f t="shared" si="1"/>
        <v/>
      </c>
      <c r="V33" s="12">
        <f t="shared" si="1"/>
        <v>1500</v>
      </c>
      <c r="W33" s="12">
        <f t="shared" si="1"/>
        <v>3000</v>
      </c>
      <c r="X33" s="12">
        <f t="shared" si="1"/>
        <v>1500</v>
      </c>
      <c r="Y33" s="12">
        <f t="shared" si="1"/>
        <v>2000</v>
      </c>
      <c r="Z33" s="12" t="str">
        <f t="shared" si="1"/>
        <v/>
      </c>
      <c r="AA33" s="12">
        <f t="shared" si="1"/>
        <v>5000</v>
      </c>
      <c r="AB33" s="38" t="str">
        <f t="shared" si="1"/>
        <v/>
      </c>
      <c r="AC33" s="12">
        <f t="shared" si="1"/>
        <v>137319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A16" sqref="A16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140625" bestFit="1" customWidth="1"/>
    <col min="5" max="6" width="13" customWidth="1"/>
    <col min="7" max="7" width="9" customWidth="1"/>
    <col min="8" max="8" width="9.28515625" bestFit="1" customWidth="1"/>
    <col min="9" max="9" width="8.42578125" customWidth="1"/>
    <col min="10" max="10" width="15.85546875" bestFit="1" customWidth="1"/>
    <col min="11" max="11" width="13.140625" bestFit="1" customWidth="1"/>
    <col min="12" max="12" width="14" bestFit="1" customWidth="1"/>
    <col min="13" max="13" width="21.28515625" bestFit="1" customWidth="1"/>
    <col min="14" max="14" width="13" customWidth="1"/>
    <col min="15" max="15" width="13.85546875" bestFit="1" customWidth="1"/>
    <col min="16" max="20" width="13" customWidth="1"/>
    <col min="21" max="21" width="20.28515625" bestFit="1" customWidth="1"/>
    <col min="22" max="23" width="13" customWidth="1"/>
    <col min="24" max="24" width="17.42578125" bestFit="1" customWidth="1"/>
    <col min="25" max="25" width="13" customWidth="1"/>
    <col min="26" max="26" width="15.140625" bestFit="1" customWidth="1"/>
    <col min="27" max="27" width="13" customWidth="1"/>
    <col min="28" max="28" width="14" customWidth="1"/>
    <col min="29" max="29" width="25" customWidth="1"/>
    <col min="30" max="30" width="17.7109375" bestFit="1" customWidth="1"/>
  </cols>
  <sheetData>
    <row r="1" spans="1:30" ht="28.5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194-3.53</f>
        <v>190.47</v>
      </c>
      <c r="S3" s="35"/>
      <c r="T3" s="35"/>
      <c r="U3" s="35"/>
      <c r="V3" s="35"/>
      <c r="W3" s="35"/>
      <c r="X3" s="35">
        <f>120.81+60.4</f>
        <v>181.21</v>
      </c>
      <c r="Y3" s="35"/>
      <c r="Z3" s="35"/>
      <c r="AA3" s="35"/>
      <c r="AB3" s="36"/>
      <c r="AC3" s="35">
        <f t="shared" si="0"/>
        <v>371.68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>
        <f>500-8.19</f>
        <v>491.81</v>
      </c>
      <c r="P4" s="35"/>
      <c r="Q4" s="35"/>
      <c r="R4" s="35">
        <f>1047-17.83</f>
        <v>1029.17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1520.98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637.58+338-11.38-5.54+694-11.59</f>
        <v>1641.0700000000002</v>
      </c>
      <c r="S5" s="35"/>
      <c r="T5" s="35"/>
      <c r="U5" s="35"/>
      <c r="V5" s="35"/>
      <c r="W5" s="35"/>
      <c r="X5" s="35"/>
      <c r="Y5" s="35"/>
      <c r="Z5" s="35"/>
      <c r="AA5" s="35">
        <f>894-14.66</f>
        <v>879.34</v>
      </c>
      <c r="AB5" s="36"/>
      <c r="AC5" s="35">
        <f t="shared" si="0"/>
        <v>2520.4100000000003</v>
      </c>
      <c r="AD5" s="35" t="s">
        <v>80</v>
      </c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161-2.64</f>
        <v>158.36000000000001</v>
      </c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158.36000000000001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>
        <v>19744</v>
      </c>
      <c r="G7" s="35">
        <v>1185</v>
      </c>
      <c r="H7" s="35">
        <f>3327-35.44</f>
        <v>3291.56</v>
      </c>
      <c r="I7" s="35">
        <f>3391-55.59</f>
        <v>3335.41</v>
      </c>
      <c r="J7" s="35"/>
      <c r="K7" s="35"/>
      <c r="L7" s="35">
        <f>256.98+13740.58</f>
        <v>13997.56</v>
      </c>
      <c r="M7" s="35"/>
      <c r="N7" s="35"/>
      <c r="O7" s="35"/>
      <c r="P7" s="35"/>
      <c r="Q7" s="35"/>
      <c r="R7" s="35">
        <f>170-2.57</f>
        <v>167.43</v>
      </c>
      <c r="S7" s="35"/>
      <c r="T7" s="35"/>
      <c r="U7" s="35"/>
      <c r="V7" s="35"/>
      <c r="W7" s="35"/>
      <c r="X7" s="35"/>
      <c r="Y7" s="35"/>
      <c r="Z7" s="35"/>
      <c r="AA7" s="35">
        <f>353-3.33</f>
        <v>349.67</v>
      </c>
      <c r="AB7" s="36"/>
      <c r="AC7" s="35">
        <f t="shared" si="0"/>
        <v>42070.63</v>
      </c>
      <c r="AD7" s="35" t="s">
        <v>81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>
        <f>275-4.51</f>
        <v>270.49</v>
      </c>
      <c r="S9" s="35"/>
      <c r="T9" s="35">
        <f>303.5-4.98</f>
        <v>298.52</v>
      </c>
      <c r="U9" s="35"/>
      <c r="V9" s="35"/>
      <c r="W9" s="35"/>
      <c r="X9" s="35"/>
      <c r="Y9" s="35"/>
      <c r="Z9" s="35"/>
      <c r="AA9" s="35"/>
      <c r="AB9" s="36"/>
      <c r="AC9" s="35">
        <f t="shared" si="0"/>
        <v>569.01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442+715-7.35-11.72-4.76+523-9.18+267</f>
        <v>1913.99</v>
      </c>
      <c r="S10" s="35"/>
      <c r="T10" s="35">
        <f>1107.87-18.16</f>
        <v>1089.7099999999998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3003.7</v>
      </c>
      <c r="AD10" s="35"/>
    </row>
    <row r="11" spans="1:30" ht="15" customHeight="1" x14ac:dyDescent="0.25">
      <c r="A11" s="34">
        <v>10</v>
      </c>
      <c r="B11" s="35"/>
      <c r="C11" s="35"/>
      <c r="D11" s="35">
        <v>15691</v>
      </c>
      <c r="E11" s="35"/>
      <c r="F11" s="35">
        <v>8345</v>
      </c>
      <c r="G11" s="35"/>
      <c r="H11" s="35"/>
      <c r="I11" s="35"/>
      <c r="J11" s="35"/>
      <c r="K11" s="35">
        <v>17999.740000000002</v>
      </c>
      <c r="L11" s="35"/>
      <c r="M11" s="35">
        <v>19000</v>
      </c>
      <c r="N11" s="35"/>
      <c r="O11" s="35">
        <f>500-8.19</f>
        <v>491.81</v>
      </c>
      <c r="P11" s="35"/>
      <c r="Q11" s="35"/>
      <c r="R11" s="35">
        <v>303.5</v>
      </c>
      <c r="S11" s="35"/>
      <c r="T11" s="35">
        <v>494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62325.05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>
        <v>522</v>
      </c>
      <c r="G12" s="35"/>
      <c r="H12" s="35"/>
      <c r="I12" s="35"/>
      <c r="J12" s="35"/>
      <c r="K12" s="35"/>
      <c r="L12" s="35"/>
      <c r="M12" s="35"/>
      <c r="N12" s="35"/>
      <c r="O12" s="35">
        <v>3920</v>
      </c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4442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-862.4</v>
      </c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-862.4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>
        <v>700</v>
      </c>
      <c r="K14" s="35"/>
      <c r="L14" s="35"/>
      <c r="M14" s="35"/>
      <c r="N14" s="35">
        <v>810</v>
      </c>
      <c r="O14" s="35"/>
      <c r="P14" s="35">
        <v>1800</v>
      </c>
      <c r="Q14" s="35"/>
      <c r="R14" s="35">
        <v>650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3960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945-15.49</f>
        <v>929.51</v>
      </c>
      <c r="S15" s="35"/>
      <c r="T15" s="35"/>
      <c r="U15" s="35"/>
      <c r="V15" s="35"/>
      <c r="W15" s="35"/>
      <c r="X15" s="35">
        <v>215</v>
      </c>
      <c r="Y15" s="35"/>
      <c r="Z15" s="35"/>
      <c r="AA15" s="35"/>
      <c r="AB15" s="36"/>
      <c r="AC15" s="35">
        <f t="shared" si="0"/>
        <v>1144.51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858+235+873-15.74-63.3-3.85</f>
        <v>1883.1100000000001</v>
      </c>
      <c r="S16" s="35"/>
      <c r="T16" s="35"/>
      <c r="U16" s="35"/>
      <c r="V16" s="35"/>
      <c r="W16" s="35"/>
      <c r="X16" s="35"/>
      <c r="Y16" s="35">
        <f>760-12.46</f>
        <v>747.54</v>
      </c>
      <c r="Z16" s="35"/>
      <c r="AA16" s="35"/>
      <c r="AB16" s="36"/>
      <c r="AC16" s="35">
        <f t="shared" si="0"/>
        <v>2630.65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513-8.41</f>
        <v>504.59</v>
      </c>
      <c r="S17" s="35"/>
      <c r="T17" s="35"/>
      <c r="U17" s="35"/>
      <c r="V17" s="35"/>
      <c r="W17" s="35"/>
      <c r="X17" s="35"/>
      <c r="Y17" s="35"/>
      <c r="Z17" s="35"/>
      <c r="AA17" s="35">
        <f>485-7.95</f>
        <v>477.05</v>
      </c>
      <c r="AB17" s="36"/>
      <c r="AC17" s="35">
        <f t="shared" si="0"/>
        <v>981.64</v>
      </c>
      <c r="AD17" s="35" t="s">
        <v>82</v>
      </c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41">
        <v>1584</v>
      </c>
      <c r="AB18" s="36"/>
      <c r="AC18" s="35">
        <f t="shared" si="0"/>
        <v>1584</v>
      </c>
      <c r="AD18" s="35" t="s">
        <v>83</v>
      </c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>
        <f>500-8.19</f>
        <v>491.81</v>
      </c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>
        <f>352+470+353-8.54-5.6-3.33</f>
        <v>1157.5300000000002</v>
      </c>
      <c r="AB19" s="36"/>
      <c r="AC19" s="35">
        <f t="shared" si="0"/>
        <v>1649.3400000000001</v>
      </c>
      <c r="AD19" s="35" t="s">
        <v>84</v>
      </c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>
        <v>3900</v>
      </c>
      <c r="P20" s="35"/>
      <c r="Q20" s="35"/>
      <c r="R20" s="35">
        <f>1040.99-18.39</f>
        <v>1022.6</v>
      </c>
      <c r="S20" s="35">
        <f>874-15.88</f>
        <v>858.12</v>
      </c>
      <c r="T20" s="35"/>
      <c r="U20" s="35"/>
      <c r="V20" s="35"/>
      <c r="W20" s="35"/>
      <c r="X20" s="35"/>
      <c r="Y20" s="35"/>
      <c r="Z20" s="35"/>
      <c r="AA20" s="35">
        <f>281-4.61</f>
        <v>276.39</v>
      </c>
      <c r="AB20" s="36"/>
      <c r="AC20" s="35">
        <f t="shared" si="0"/>
        <v>6057.1100000000006</v>
      </c>
      <c r="AD20" s="35" t="s">
        <v>85</v>
      </c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>
        <v>-858</v>
      </c>
      <c r="P21" s="35"/>
      <c r="Q21" s="35"/>
      <c r="R21" s="35">
        <f>727-12.92</f>
        <v>714.08</v>
      </c>
      <c r="S21" s="35"/>
      <c r="T21" s="35">
        <f>70+1080-0.66+269.46-19.88+570-9.34</f>
        <v>1959.58</v>
      </c>
      <c r="U21" s="35"/>
      <c r="V21" s="35"/>
      <c r="W21" s="35"/>
      <c r="X21" s="35"/>
      <c r="Y21" s="35">
        <f>450-7.38</f>
        <v>442.62</v>
      </c>
      <c r="Z21" s="35"/>
      <c r="AA21" s="35"/>
      <c r="AB21" s="36"/>
      <c r="AC21" s="35">
        <f t="shared" si="0"/>
        <v>2258.2799999999997</v>
      </c>
      <c r="AD21" s="35" t="s">
        <v>86</v>
      </c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42">
        <v>150</v>
      </c>
      <c r="P22" s="35"/>
      <c r="Q22" s="35"/>
      <c r="R22" s="42">
        <v>800</v>
      </c>
      <c r="S22" s="42">
        <v>1600</v>
      </c>
      <c r="T22" s="35"/>
      <c r="U22" s="35"/>
      <c r="V22" s="35"/>
      <c r="W22" s="35"/>
      <c r="X22" s="35"/>
      <c r="Y22" s="35"/>
      <c r="Z22" s="35"/>
      <c r="AA22" s="42">
        <v>1150</v>
      </c>
      <c r="AB22" s="36"/>
      <c r="AC22" s="35">
        <f t="shared" si="0"/>
        <v>3700</v>
      </c>
      <c r="AD22" s="35" t="s">
        <v>87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42">
        <v>2600</v>
      </c>
      <c r="P23" s="35"/>
      <c r="Q23" s="35"/>
      <c r="R23" s="42">
        <v>1500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4100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>
        <f>310-5.08</f>
        <v>304.92</v>
      </c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304.92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1437.41+331+728-5.43-24.91-12.57</f>
        <v>2453.5</v>
      </c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2453.5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>
        <f>117-1.92+399</f>
        <v>514.08000000000004</v>
      </c>
      <c r="AB28" s="36"/>
      <c r="AC28" s="35">
        <f t="shared" si="0"/>
        <v>514.08000000000004</v>
      </c>
      <c r="AD28" s="35" t="s">
        <v>88</v>
      </c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>
        <f>1000-16.39</f>
        <v>983.61</v>
      </c>
      <c r="P31" s="35"/>
      <c r="Q31" s="35"/>
      <c r="R31" s="35"/>
      <c r="S31" s="35"/>
      <c r="T31" s="35">
        <f>271+387-6.34+260</f>
        <v>911.66</v>
      </c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1895.27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>
        <v>2000</v>
      </c>
      <c r="P32" s="35"/>
      <c r="Q32" s="35"/>
      <c r="R32" s="35"/>
      <c r="S32" s="35"/>
      <c r="T32" s="35">
        <v>758</v>
      </c>
      <c r="U32" s="35">
        <v>0</v>
      </c>
      <c r="V32" s="35">
        <v>0</v>
      </c>
      <c r="W32" s="35"/>
      <c r="X32" s="35"/>
      <c r="Y32" s="35">
        <f>1860-31.08</f>
        <v>1828.92</v>
      </c>
      <c r="Z32" s="35"/>
      <c r="AA32" s="35"/>
      <c r="AB32" s="36"/>
      <c r="AC32" s="35">
        <f t="shared" si="0"/>
        <v>4586.92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>
        <f t="shared" si="1"/>
        <v>15691</v>
      </c>
      <c r="E33" s="12" t="str">
        <f t="shared" si="1"/>
        <v/>
      </c>
      <c r="F33" s="12">
        <f t="shared" si="1"/>
        <v>28611</v>
      </c>
      <c r="G33" s="12">
        <f t="shared" si="1"/>
        <v>1185</v>
      </c>
      <c r="H33" s="12">
        <f t="shared" si="1"/>
        <v>3291.56</v>
      </c>
      <c r="I33" s="12">
        <f t="shared" si="1"/>
        <v>3335.41</v>
      </c>
      <c r="J33" s="12">
        <f t="shared" si="1"/>
        <v>700</v>
      </c>
      <c r="K33" s="12">
        <f t="shared" si="1"/>
        <v>17999.740000000002</v>
      </c>
      <c r="L33" s="12">
        <f t="shared" si="1"/>
        <v>13997.56</v>
      </c>
      <c r="M33" s="12">
        <f t="shared" si="1"/>
        <v>19000</v>
      </c>
      <c r="N33" s="12">
        <f t="shared" si="1"/>
        <v>810</v>
      </c>
      <c r="O33" s="12">
        <f t="shared" si="1"/>
        <v>13308.64</v>
      </c>
      <c r="P33" s="12">
        <f t="shared" si="1"/>
        <v>1800</v>
      </c>
      <c r="Q33" s="12" t="str">
        <f t="shared" si="1"/>
        <v/>
      </c>
      <c r="R33" s="12">
        <f t="shared" si="1"/>
        <v>16436.79</v>
      </c>
      <c r="S33" s="12">
        <f t="shared" si="1"/>
        <v>2458.12</v>
      </c>
      <c r="T33" s="12">
        <f t="shared" si="1"/>
        <v>5511.4699999999993</v>
      </c>
      <c r="U33" s="12">
        <f t="shared" si="1"/>
        <v>0</v>
      </c>
      <c r="V33" s="12">
        <f t="shared" si="1"/>
        <v>0</v>
      </c>
      <c r="W33" s="12" t="str">
        <f t="shared" si="1"/>
        <v/>
      </c>
      <c r="X33" s="12">
        <f t="shared" si="1"/>
        <v>396.21000000000004</v>
      </c>
      <c r="Y33" s="12">
        <f t="shared" si="1"/>
        <v>3019.08</v>
      </c>
      <c r="Z33" s="12" t="str">
        <f t="shared" si="1"/>
        <v/>
      </c>
      <c r="AA33" s="12">
        <f t="shared" si="1"/>
        <v>6388.06</v>
      </c>
      <c r="AB33" s="38" t="str">
        <f t="shared" si="1"/>
        <v/>
      </c>
      <c r="AC33" s="12">
        <f t="shared" si="1"/>
        <v>153939.63999999998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tabSelected="1" topLeftCell="R16" zoomScaleNormal="100" workbookViewId="0">
      <selection activeCell="R32" sqref="R32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5.28515625" customWidth="1"/>
    <col min="5" max="12" width="13" customWidth="1"/>
    <col min="13" max="13" width="15.7109375" customWidth="1"/>
    <col min="14" max="25" width="13" customWidth="1"/>
    <col min="26" max="26" width="16.140625" customWidth="1"/>
    <col min="27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90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859.68-13.39</f>
        <v>846.29</v>
      </c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846.29</v>
      </c>
      <c r="AD2" s="35"/>
    </row>
    <row r="3" spans="1:30" ht="15" customHeight="1" x14ac:dyDescent="0.25">
      <c r="A3" s="34">
        <v>2</v>
      </c>
      <c r="B3" s="35"/>
      <c r="C3" s="35"/>
      <c r="D3" s="35"/>
      <c r="E3" s="35">
        <v>498</v>
      </c>
      <c r="F3" s="35">
        <v>18447</v>
      </c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>
        <f>605-44.65</f>
        <v>560.35</v>
      </c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19505.349999999999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>
        <v>8345</v>
      </c>
      <c r="G4" s="35"/>
      <c r="H4" s="35">
        <f>3327-35.44</f>
        <v>3291.56</v>
      </c>
      <c r="I4" s="35">
        <f>3749-61.45</f>
        <v>3687.55</v>
      </c>
      <c r="J4" s="35"/>
      <c r="K4" s="35"/>
      <c r="L4" s="35"/>
      <c r="M4" s="35"/>
      <c r="N4" s="35"/>
      <c r="O4" s="35"/>
      <c r="P4" s="35">
        <v>1800</v>
      </c>
      <c r="Q4" s="35"/>
      <c r="R4" s="35">
        <f>378+1112.2+742-15.61-6.43</f>
        <v>2210.16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19334.27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263-19.4+177+0.14-3.22</f>
        <v>417.52</v>
      </c>
      <c r="S5" s="35"/>
      <c r="T5" s="35"/>
      <c r="U5" s="35"/>
      <c r="V5" s="35"/>
      <c r="W5" s="35"/>
      <c r="X5" s="35"/>
      <c r="Y5" s="35"/>
      <c r="Z5" s="35"/>
      <c r="AA5" s="35">
        <v>42</v>
      </c>
      <c r="AB5" s="36"/>
      <c r="AC5" s="35">
        <f t="shared" si="0"/>
        <v>459.52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>
        <v>23112.77</v>
      </c>
      <c r="L6" s="35"/>
      <c r="M6" s="35"/>
      <c r="N6" s="35"/>
      <c r="O6" s="35"/>
      <c r="P6" s="35"/>
      <c r="Q6" s="35"/>
      <c r="R6" s="35">
        <f>542-7.64+587-9.62</f>
        <v>1111.7400000000002</v>
      </c>
      <c r="S6" s="35"/>
      <c r="T6" s="35"/>
      <c r="U6" s="35"/>
      <c r="V6" s="35"/>
      <c r="W6" s="35"/>
      <c r="X6" s="35"/>
      <c r="Y6" s="35"/>
      <c r="Z6" s="35"/>
      <c r="AA6" s="35">
        <v>300</v>
      </c>
      <c r="AB6" s="36"/>
      <c r="AC6" s="35">
        <f t="shared" si="0"/>
        <v>24524.510000000002</v>
      </c>
      <c r="AD6" s="35" t="s">
        <v>89</v>
      </c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>
        <f>7245.67+256.67</f>
        <v>7502.34</v>
      </c>
      <c r="M7" s="35"/>
      <c r="N7" s="35"/>
      <c r="O7" s="35"/>
      <c r="P7" s="35"/>
      <c r="Q7" s="35"/>
      <c r="R7" s="35">
        <f>755-12.38</f>
        <v>742.62</v>
      </c>
      <c r="S7" s="35"/>
      <c r="T7" s="35"/>
      <c r="U7" s="35"/>
      <c r="V7" s="35"/>
      <c r="W7" s="35">
        <f>1980-32.46</f>
        <v>1947.54</v>
      </c>
      <c r="X7" s="35"/>
      <c r="Y7" s="35"/>
      <c r="Z7" s="35"/>
      <c r="AA7" s="35">
        <f>320-5.45+1244.58</f>
        <v>1559.1299999999999</v>
      </c>
      <c r="AB7" s="36"/>
      <c r="AC7" s="35">
        <f t="shared" si="0"/>
        <v>11751.63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>
        <f>13329-218.51</f>
        <v>13110.49</v>
      </c>
      <c r="V9" s="35"/>
      <c r="W9" s="35"/>
      <c r="X9" s="35"/>
      <c r="Y9" s="35"/>
      <c r="Z9" s="35"/>
      <c r="AA9" s="35"/>
      <c r="AB9" s="36"/>
      <c r="AC9" s="35">
        <f t="shared" si="0"/>
        <v>13110.49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>
        <f>263-4.57+952-16.36</f>
        <v>1194.0700000000002</v>
      </c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1194.0700000000002</v>
      </c>
      <c r="AD10" s="35"/>
    </row>
    <row r="11" spans="1:30" ht="15" customHeight="1" x14ac:dyDescent="0.25">
      <c r="A11" s="34">
        <v>10</v>
      </c>
      <c r="B11" s="35"/>
      <c r="C11" s="35"/>
      <c r="D11" s="35">
        <v>15706.32</v>
      </c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>
        <f>746+720-12.65-53.11</f>
        <v>1400.24</v>
      </c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17106.560000000001</v>
      </c>
      <c r="AD11" s="35"/>
    </row>
    <row r="12" spans="1:30" ht="15" customHeight="1" x14ac:dyDescent="0.25">
      <c r="A12" s="34">
        <v>11</v>
      </c>
      <c r="B12" s="35"/>
      <c r="C12" s="35">
        <v>4369</v>
      </c>
      <c r="D12" s="35"/>
      <c r="E12" s="35"/>
      <c r="F12" s="35"/>
      <c r="G12" s="35"/>
      <c r="H12" s="35"/>
      <c r="I12" s="35"/>
      <c r="J12" s="35">
        <v>1000</v>
      </c>
      <c r="K12" s="35"/>
      <c r="L12" s="35"/>
      <c r="M12" s="35"/>
      <c r="N12" s="35">
        <v>810</v>
      </c>
      <c r="O12" s="35"/>
      <c r="P12" s="35"/>
      <c r="Q12" s="35"/>
      <c r="R12" s="35">
        <f>898-14.72+0.94+785.75-14.29</f>
        <v>1655.68</v>
      </c>
      <c r="S12" s="35"/>
      <c r="T12" s="35"/>
      <c r="U12" s="35"/>
      <c r="V12" s="35"/>
      <c r="W12" s="35"/>
      <c r="X12" s="35"/>
      <c r="Y12" s="35"/>
      <c r="Z12" s="35"/>
      <c r="AA12" s="35">
        <v>270</v>
      </c>
      <c r="AB12" s="36"/>
      <c r="AC12" s="35">
        <f t="shared" si="0"/>
        <v>8104.68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>
        <f>500-8.19</f>
        <v>491.81</v>
      </c>
      <c r="P14" s="35"/>
      <c r="Q14" s="35"/>
      <c r="R14" s="35">
        <f>180-2.95+197-3.23+80-5.9+240+460+450-7.38+248-4.07+315-5.72</f>
        <v>2140.7500000000005</v>
      </c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2632.5600000000004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761-13.2</f>
        <v>747.8</v>
      </c>
      <c r="S15" s="35"/>
      <c r="T15" s="35"/>
      <c r="U15" s="35"/>
      <c r="V15" s="35"/>
      <c r="W15" s="35"/>
      <c r="X15" s="35"/>
      <c r="Y15" s="35"/>
      <c r="Z15" s="35"/>
      <c r="AA15" s="35">
        <f>128-2.1</f>
        <v>125.9</v>
      </c>
      <c r="AB15" s="36"/>
      <c r="AC15" s="35">
        <f t="shared" si="0"/>
        <v>873.69999999999993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215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>
        <f>2550-41.8</f>
        <v>2508.1999999999998</v>
      </c>
      <c r="R18" s="35"/>
      <c r="S18" s="35">
        <f>926-14.75</f>
        <v>911.25</v>
      </c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3419.45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>
        <f>21570.71+1511.04</f>
        <v>23081.75</v>
      </c>
      <c r="N19" s="35"/>
      <c r="O19" s="35"/>
      <c r="P19" s="35"/>
      <c r="Q19" s="35"/>
      <c r="R19" s="35">
        <f>469+432+1666-7.31-26.74-8.53</f>
        <v>2524.42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25606.17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449+616-7.36-10.1</f>
        <v>1047.5400000000002</v>
      </c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1047.5400000000002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662-10.9+692-11.34</f>
        <v>1331.76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1331.76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3724</v>
      </c>
      <c r="P25" s="35"/>
      <c r="Q25" s="35"/>
      <c r="R25" s="35">
        <f>119.18+540-11.8-1.95-39.84+720</f>
        <v>1325.5900000000001</v>
      </c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5049.59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>
        <v>-819.28</v>
      </c>
      <c r="P26" s="35">
        <v>1800</v>
      </c>
      <c r="Q26" s="35"/>
      <c r="R26" s="35">
        <f>444.94-7.49+481+1769.48-6.64-30.72</f>
        <v>2650.5700000000006</v>
      </c>
      <c r="S26" s="35"/>
      <c r="T26" s="35">
        <f>480-7.87+739.55-12.57+1006.45-16.5</f>
        <v>2189.06</v>
      </c>
      <c r="U26" s="35"/>
      <c r="V26" s="35"/>
      <c r="W26" s="35">
        <v>1300</v>
      </c>
      <c r="X26" s="35"/>
      <c r="Y26" s="35"/>
      <c r="Z26" s="35"/>
      <c r="AA26" s="35"/>
      <c r="AB26" s="36"/>
      <c r="AC26" s="35">
        <f t="shared" si="0"/>
        <v>7120.35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1143+488-10.37+633-18.74-8+400</f>
        <v>2626.8900000000003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2626.8900000000003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>
        <f>265.01-2.12</f>
        <v>262.89</v>
      </c>
      <c r="T30" s="35"/>
      <c r="U30" s="35"/>
      <c r="V30" s="35"/>
      <c r="W30" s="35"/>
      <c r="X30" s="35"/>
      <c r="Y30" s="35"/>
      <c r="Z30" s="35"/>
      <c r="AA30" s="35">
        <f>79-1.3</f>
        <v>77.7</v>
      </c>
      <c r="AB30" s="36"/>
      <c r="AC30" s="35">
        <f t="shared" si="0"/>
        <v>340.59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>
        <f>1004-14.15+381-6.93</f>
        <v>1363.9199999999998</v>
      </c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1363.9199999999998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>
        <f t="shared" si="1"/>
        <v>4369</v>
      </c>
      <c r="D32" s="12">
        <f t="shared" si="1"/>
        <v>15706.32</v>
      </c>
      <c r="E32" s="12">
        <f t="shared" si="1"/>
        <v>498</v>
      </c>
      <c r="F32" s="12">
        <f t="shared" si="1"/>
        <v>26792</v>
      </c>
      <c r="G32" s="12" t="str">
        <f t="shared" si="1"/>
        <v/>
      </c>
      <c r="H32" s="12">
        <f t="shared" si="1"/>
        <v>3291.56</v>
      </c>
      <c r="I32" s="12">
        <f t="shared" si="1"/>
        <v>3687.55</v>
      </c>
      <c r="J32" s="12">
        <f t="shared" si="1"/>
        <v>1000</v>
      </c>
      <c r="K32" s="12">
        <f t="shared" si="1"/>
        <v>23112.77</v>
      </c>
      <c r="L32" s="12">
        <f t="shared" si="1"/>
        <v>7502.34</v>
      </c>
      <c r="M32" s="12">
        <f t="shared" si="1"/>
        <v>23081.75</v>
      </c>
      <c r="N32" s="12">
        <f t="shared" si="1"/>
        <v>810</v>
      </c>
      <c r="O32" s="12">
        <f t="shared" si="1"/>
        <v>3396.5300000000007</v>
      </c>
      <c r="P32" s="12">
        <f t="shared" si="1"/>
        <v>3600</v>
      </c>
      <c r="Q32" s="12">
        <f t="shared" si="1"/>
        <v>2508.1999999999998</v>
      </c>
      <c r="R32" s="12">
        <f t="shared" si="1"/>
        <v>25897.909999999996</v>
      </c>
      <c r="S32" s="12">
        <f t="shared" si="1"/>
        <v>1174.1399999999999</v>
      </c>
      <c r="T32" s="12">
        <f t="shared" si="1"/>
        <v>2189.06</v>
      </c>
      <c r="U32" s="12">
        <f t="shared" si="1"/>
        <v>13110.49</v>
      </c>
      <c r="V32" s="12" t="str">
        <f t="shared" si="1"/>
        <v/>
      </c>
      <c r="W32" s="12">
        <f t="shared" si="1"/>
        <v>3247.54</v>
      </c>
      <c r="X32" s="12">
        <f t="shared" si="1"/>
        <v>215</v>
      </c>
      <c r="Y32" s="12" t="str">
        <f t="shared" si="1"/>
        <v/>
      </c>
      <c r="Z32" s="12" t="str">
        <f t="shared" si="1"/>
        <v/>
      </c>
      <c r="AA32" s="12">
        <f t="shared" si="1"/>
        <v>2374.73</v>
      </c>
      <c r="AB32" s="38" t="str">
        <f t="shared" si="1"/>
        <v/>
      </c>
      <c r="AC32" s="12">
        <f t="shared" si="1"/>
        <v>167564.89000000004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Usuario</cp:lastModifiedBy>
  <cp:revision>0</cp:revision>
  <dcterms:created xsi:type="dcterms:W3CDTF">2015-06-05T18:19:34Z</dcterms:created>
  <dcterms:modified xsi:type="dcterms:W3CDTF">2026-10-01T11:47:19Z</dcterms:modified>
  <dc:language>en-US</dc:language>
</cp:coreProperties>
</file>