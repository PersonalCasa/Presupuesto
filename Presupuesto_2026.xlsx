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F068D295-57F9-466D-B092-E430F91BA03E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8" i="2" l="1"/>
  <c r="W8" i="2"/>
  <c r="AA8" i="2" s="1"/>
  <c r="C53" i="1"/>
  <c r="K38" i="1"/>
  <c r="K7" i="2"/>
  <c r="I7" i="2"/>
  <c r="H7" i="2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K33" i="9"/>
  <c r="K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32" i="8" s="1"/>
  <c r="AA20" i="1" s="1"/>
  <c r="AA10" i="8"/>
  <c r="AA9" i="8"/>
  <c r="AA8" i="8"/>
  <c r="AA7" i="8"/>
  <c r="AA6" i="8"/>
  <c r="AA5" i="8"/>
  <c r="AA4" i="8"/>
  <c r="AA3" i="8"/>
  <c r="AA2" i="8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K33" i="7"/>
  <c r="K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AA33" i="7" s="1"/>
  <c r="AA19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32" i="6" s="1"/>
  <c r="AA18" i="1" s="1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33" i="4" s="1"/>
  <c r="AA16" i="1" s="1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AA32" i="3" s="1"/>
  <c r="AA15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30" i="1" s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A28" i="1" s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7" i="1" s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A10" i="1"/>
  <c r="AA9" i="1"/>
  <c r="AA8" i="1"/>
  <c r="AA7" i="1"/>
  <c r="AA6" i="1"/>
  <c r="AA5" i="1"/>
  <c r="AA4" i="1"/>
  <c r="AA3" i="1"/>
  <c r="AF3" i="1" s="1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7" i="2"/>
  <c r="AA6" i="2"/>
  <c r="AA5" i="2"/>
  <c r="AA4" i="2"/>
  <c r="AA3" i="2"/>
  <c r="AA2" i="2"/>
  <c r="AA32" i="1" l="1"/>
  <c r="AA31" i="1"/>
  <c r="AA26" i="1"/>
  <c r="C54" i="1"/>
  <c r="K39" i="1"/>
  <c r="M38" i="1"/>
  <c r="L38" i="1"/>
  <c r="AA33" i="2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T14" i="1"/>
  <c r="T25" i="1"/>
  <c r="T33" i="1" s="1"/>
  <c r="S14" i="1"/>
  <c r="S25" i="1"/>
  <c r="S33" i="1" s="1"/>
  <c r="R14" i="1"/>
  <c r="R25" i="1"/>
  <c r="R33" i="1" s="1"/>
  <c r="Q14" i="1"/>
  <c r="Q25" i="1"/>
  <c r="Q33" i="1" s="1"/>
  <c r="P14" i="1"/>
  <c r="P25" i="1"/>
  <c r="P33" i="1" s="1"/>
  <c r="O14" i="1"/>
  <c r="O25" i="1"/>
  <c r="O33" i="1" s="1"/>
  <c r="N14" i="1"/>
  <c r="N25" i="1"/>
  <c r="N33" i="1" s="1"/>
  <c r="M14" i="1"/>
  <c r="M25" i="1"/>
  <c r="M33" i="1" s="1"/>
  <c r="L14" i="1"/>
  <c r="L25" i="1"/>
  <c r="L33" i="1" s="1"/>
  <c r="K14" i="1"/>
  <c r="K25" i="1"/>
  <c r="K33" i="1" s="1"/>
  <c r="J14" i="1"/>
  <c r="J25" i="1"/>
  <c r="J33" i="1" s="1"/>
  <c r="I14" i="1"/>
  <c r="I25" i="1"/>
  <c r="I33" i="1" s="1"/>
  <c r="H14" i="1"/>
  <c r="H25" i="1"/>
  <c r="H33" i="1" s="1"/>
  <c r="G14" i="1"/>
  <c r="G25" i="1"/>
  <c r="G33" i="1" s="1"/>
  <c r="F14" i="1"/>
  <c r="F25" i="1"/>
  <c r="F33" i="1" s="1"/>
  <c r="E14" i="1"/>
  <c r="E25" i="1"/>
  <c r="E29" i="1"/>
  <c r="E18" i="1"/>
  <c r="D18" i="1"/>
  <c r="D29" i="1"/>
  <c r="C18" i="1"/>
  <c r="C29" i="1"/>
  <c r="B18" i="1"/>
  <c r="B29" i="1"/>
  <c r="AA29" i="1" s="1"/>
  <c r="AB10" i="1"/>
  <c r="AD10" i="1" s="1"/>
  <c r="AG10" i="1"/>
  <c r="AF10" i="1"/>
  <c r="AG9" i="1"/>
  <c r="AF9" i="1"/>
  <c r="AB9" i="1"/>
  <c r="AD9" i="1" s="1"/>
  <c r="AG8" i="1"/>
  <c r="AF8" i="1"/>
  <c r="AH8" i="1" s="1"/>
  <c r="AB8" i="1"/>
  <c r="AD8" i="1" s="1"/>
  <c r="AB7" i="1"/>
  <c r="AD7" i="1" s="1"/>
  <c r="AF7" i="1"/>
  <c r="AG7" i="1"/>
  <c r="AG6" i="1"/>
  <c r="AF6" i="1"/>
  <c r="AH6" i="1" s="1"/>
  <c r="AB6" i="1"/>
  <c r="AD6" i="1" s="1"/>
  <c r="AG5" i="1"/>
  <c r="AF5" i="1"/>
  <c r="AH5" i="1" s="1"/>
  <c r="AB5" i="1"/>
  <c r="AD5" i="1" s="1"/>
  <c r="AG4" i="1"/>
  <c r="AF4" i="1"/>
  <c r="AB4" i="1"/>
  <c r="AD4" i="1" s="1"/>
  <c r="AG3" i="1"/>
  <c r="AB3" i="1"/>
  <c r="AD3" i="1" s="1"/>
  <c r="D25" i="1"/>
  <c r="D33" i="1" s="1"/>
  <c r="D14" i="1"/>
  <c r="C14" i="1"/>
  <c r="C25" i="1"/>
  <c r="C33" i="1" s="1"/>
  <c r="B25" i="1"/>
  <c r="B14" i="1"/>
  <c r="AH4" i="1" l="1"/>
  <c r="AH7" i="1"/>
  <c r="E33" i="1"/>
  <c r="B33" i="1"/>
  <c r="AA25" i="1"/>
  <c r="AH10" i="1"/>
  <c r="AH3" i="1"/>
  <c r="AH9" i="1"/>
  <c r="AA33" i="1" l="1"/>
</calcChain>
</file>

<file path=xl/sharedStrings.xml><?xml version="1.0" encoding="utf-8"?>
<sst xmlns="http://schemas.openxmlformats.org/spreadsheetml/2006/main" count="370" uniqueCount="63">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</sst>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charset val="1"/>
    </font>
    <font>
      <b/>
      <sz val="11"/>
      <color rgb="FFAD1457"/>
      <name val="Cambria"/>
      <charset val="1"/>
    </font>
    <font>
      <b/>
      <sz val="11"/>
      <color rgb="FF1565C0"/>
      <name val="Cambria"/>
      <charset val="1"/>
    </font>
    <font>
      <b/>
      <sz val="11"/>
      <color rgb="FF2E7D32"/>
      <name val="Cambria"/>
      <charset val="1"/>
    </font>
    <font>
      <b/>
      <sz val="11"/>
      <color rgb="FFFFFFFF"/>
      <name val="Cambria"/>
      <charset val="1"/>
    </font>
    <font>
      <b/>
      <sz val="12"/>
      <name val="Cambria"/>
      <charset val="1"/>
    </font>
    <font>
      <b/>
      <sz val="11"/>
      <color rgb="FF0284C7"/>
      <name val="Cambria"/>
      <charset val="1"/>
    </font>
    <font>
      <i/>
      <sz val="11"/>
      <color rgb="FF555555"/>
      <name val="Cambria"/>
      <charset val="1"/>
    </font>
    <font>
      <b/>
      <sz val="11"/>
      <color rgb="FFC62828"/>
      <name val="Cambria"/>
      <charset val="1"/>
    </font>
    <font>
      <b/>
      <sz val="11"/>
      <color rgb="FF1B5E20"/>
      <name val="Cambria"/>
      <charset val="1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4"/>
  <sheetViews>
    <sheetView zoomScaleNormal="100" workbookViewId="0">
      <selection activeCell="J3" sqref="J3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0" width="14" style="1" customWidth="1"/>
    <col min="11" max="11" width="13.42578125" style="1" customWidth="1"/>
    <col min="12" max="12" width="18.5703125" style="1" customWidth="1"/>
    <col min="13" max="13" width="10.42578125" style="1" customWidth="1"/>
    <col min="14" max="14" width="12.7109375" style="1" customWidth="1"/>
    <col min="15" max="15" width="11.140625" style="1" customWidth="1"/>
    <col min="16" max="19" width="9.140625" style="1"/>
    <col min="20" max="20" width="17.85546875" style="1" customWidth="1"/>
    <col min="21" max="21" width="10.5703125" style="1" customWidth="1"/>
    <col min="22" max="22" width="9.7109375" style="1" customWidth="1"/>
    <col min="23" max="23" width="15" style="1" customWidth="1"/>
    <col min="24" max="24" width="9.140625" style="1"/>
    <col min="25" max="25" width="13" style="1" customWidth="1"/>
    <col min="26" max="26" width="9.140625" style="1"/>
    <col min="27" max="27" width="12" style="1" customWidth="1"/>
    <col min="28" max="16384" width="9.140625" style="1"/>
  </cols>
  <sheetData>
    <row r="1" spans="1:34" ht="15" customHeight="1" x14ac:dyDescent="0.25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34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2" t="s">
        <v>32</v>
      </c>
      <c r="AG2" s="3" t="s">
        <v>33</v>
      </c>
      <c r="AH2" s="4" t="s">
        <v>34</v>
      </c>
    </row>
    <row r="3" spans="1:34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18100</v>
      </c>
      <c r="L3" s="1">
        <v>10000</v>
      </c>
      <c r="M3" s="1">
        <v>850</v>
      </c>
      <c r="N3" s="1">
        <v>10000</v>
      </c>
      <c r="O3" s="1">
        <v>1800</v>
      </c>
      <c r="P3" s="1">
        <v>2500</v>
      </c>
      <c r="Q3" s="1">
        <v>20000</v>
      </c>
      <c r="R3" s="1">
        <v>2500</v>
      </c>
      <c r="S3" s="1">
        <v>5000</v>
      </c>
      <c r="V3" s="1">
        <v>3000</v>
      </c>
      <c r="W3" s="1">
        <v>1500</v>
      </c>
      <c r="X3" s="1">
        <v>2000</v>
      </c>
      <c r="Y3" s="1">
        <v>750</v>
      </c>
      <c r="Z3" s="1">
        <v>4000</v>
      </c>
      <c r="AA3" s="1">
        <f t="shared" ref="AA3:AA10" si="0">SUM(B3:Z3)</f>
        <v>142700</v>
      </c>
      <c r="AB3" s="5">
        <f t="shared" ref="AB3:AB10" si="1">+AA3/2</f>
        <v>71350</v>
      </c>
      <c r="AC3" s="1">
        <v>10000</v>
      </c>
      <c r="AD3" s="5">
        <f t="shared" ref="AD3:AD10" si="2">+AE3-AB3-AC3</f>
        <v>13650</v>
      </c>
      <c r="AE3" s="1">
        <v>95000</v>
      </c>
      <c r="AF3" s="6">
        <f>AA3/2-L3</f>
        <v>61350</v>
      </c>
      <c r="AG3" s="7">
        <f t="shared" ref="AG3:AG10" si="3">AA3/2-D3</f>
        <v>55850</v>
      </c>
      <c r="AH3" s="8">
        <f t="shared" ref="AH3:AH10" si="4">AF3+AG3</f>
        <v>117200</v>
      </c>
    </row>
    <row r="4" spans="1:34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7500</v>
      </c>
      <c r="L4" s="1">
        <v>7500</v>
      </c>
      <c r="M4" s="1">
        <v>850</v>
      </c>
      <c r="N4" s="1">
        <v>10000</v>
      </c>
      <c r="O4" s="1">
        <v>1800</v>
      </c>
      <c r="P4" s="1">
        <v>2500</v>
      </c>
      <c r="Q4" s="1">
        <v>20000</v>
      </c>
      <c r="R4" s="1">
        <v>2500</v>
      </c>
      <c r="S4" s="1">
        <v>5000</v>
      </c>
      <c r="T4" s="1">
        <v>9000</v>
      </c>
      <c r="V4" s="1">
        <v>3000</v>
      </c>
      <c r="W4" s="1">
        <v>1500</v>
      </c>
      <c r="X4" s="1">
        <v>2000</v>
      </c>
      <c r="Y4" s="1">
        <v>750</v>
      </c>
      <c r="Z4" s="1">
        <v>4000</v>
      </c>
      <c r="AA4" s="1">
        <f t="shared" si="0"/>
        <v>148000</v>
      </c>
      <c r="AB4" s="5">
        <f t="shared" si="1"/>
        <v>74000</v>
      </c>
      <c r="AC4" s="1">
        <v>10000</v>
      </c>
      <c r="AD4" s="5">
        <f t="shared" si="2"/>
        <v>11000</v>
      </c>
      <c r="AE4" s="1">
        <v>95000</v>
      </c>
      <c r="AF4" s="6">
        <f t="shared" ref="AF4:AF10" si="5">AA4/2-L4</f>
        <v>66500</v>
      </c>
      <c r="AG4" s="7">
        <f t="shared" si="3"/>
        <v>58500</v>
      </c>
      <c r="AH4" s="8">
        <f t="shared" si="4"/>
        <v>125000</v>
      </c>
    </row>
    <row r="5" spans="1:34" ht="15" customHeight="1" x14ac:dyDescent="0.25">
      <c r="A5" s="1" t="s">
        <v>37</v>
      </c>
      <c r="C5" s="1">
        <v>4369</v>
      </c>
      <c r="D5" s="1">
        <v>15500</v>
      </c>
      <c r="E5" s="1">
        <v>10600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v>7500</v>
      </c>
      <c r="L5" s="1">
        <v>7500</v>
      </c>
      <c r="N5" s="1">
        <v>10000</v>
      </c>
      <c r="O5" s="1">
        <v>1800</v>
      </c>
      <c r="P5" s="1">
        <v>2500</v>
      </c>
      <c r="Q5" s="1">
        <v>20000</v>
      </c>
      <c r="R5" s="1">
        <v>2500</v>
      </c>
      <c r="S5" s="1">
        <v>5000</v>
      </c>
      <c r="U5" s="1">
        <v>1500</v>
      </c>
      <c r="V5" s="1">
        <v>3000</v>
      </c>
      <c r="W5" s="1">
        <v>1500</v>
      </c>
      <c r="X5" s="1">
        <v>2000</v>
      </c>
      <c r="Y5" s="1">
        <v>750</v>
      </c>
      <c r="Z5" s="1">
        <v>4000</v>
      </c>
      <c r="AA5" s="1">
        <f t="shared" si="0"/>
        <v>134619</v>
      </c>
      <c r="AB5" s="5">
        <f t="shared" si="1"/>
        <v>67309.5</v>
      </c>
      <c r="AC5" s="1">
        <v>10000</v>
      </c>
      <c r="AD5" s="5">
        <f t="shared" si="2"/>
        <v>17690.5</v>
      </c>
      <c r="AE5" s="1">
        <v>95000</v>
      </c>
      <c r="AF5" s="6">
        <f t="shared" si="5"/>
        <v>59809.5</v>
      </c>
      <c r="AG5" s="7">
        <f t="shared" si="3"/>
        <v>51809.5</v>
      </c>
      <c r="AH5" s="8">
        <f t="shared" si="4"/>
        <v>111619</v>
      </c>
    </row>
    <row r="6" spans="1:34" ht="15" customHeight="1" x14ac:dyDescent="0.25">
      <c r="A6" s="1" t="s">
        <v>38</v>
      </c>
      <c r="D6" s="1">
        <v>15500</v>
      </c>
      <c r="E6" s="1">
        <v>10600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v>7500</v>
      </c>
      <c r="L6" s="1">
        <v>7500</v>
      </c>
      <c r="N6" s="1">
        <v>10000</v>
      </c>
      <c r="O6" s="1">
        <v>1800</v>
      </c>
      <c r="P6" s="1">
        <v>2500</v>
      </c>
      <c r="Q6" s="1">
        <v>20000</v>
      </c>
      <c r="R6" s="1">
        <v>2500</v>
      </c>
      <c r="S6" s="1">
        <v>5000</v>
      </c>
      <c r="V6" s="1">
        <v>3000</v>
      </c>
      <c r="W6" s="1">
        <v>1500</v>
      </c>
      <c r="X6" s="1">
        <v>2000</v>
      </c>
      <c r="Y6" s="1">
        <v>750</v>
      </c>
      <c r="Z6" s="1">
        <v>4000</v>
      </c>
      <c r="AA6" s="1">
        <f t="shared" si="0"/>
        <v>128750</v>
      </c>
      <c r="AB6" s="5">
        <f t="shared" si="1"/>
        <v>64375</v>
      </c>
      <c r="AC6" s="1">
        <v>10000</v>
      </c>
      <c r="AD6" s="5">
        <f t="shared" si="2"/>
        <v>20625</v>
      </c>
      <c r="AE6" s="1">
        <v>95000</v>
      </c>
      <c r="AF6" s="6">
        <f t="shared" si="5"/>
        <v>56875</v>
      </c>
      <c r="AG6" s="7">
        <f t="shared" si="3"/>
        <v>48875</v>
      </c>
      <c r="AH6" s="8">
        <f t="shared" si="4"/>
        <v>105750</v>
      </c>
    </row>
    <row r="7" spans="1:34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10600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v>7500</v>
      </c>
      <c r="L7" s="1">
        <v>7500</v>
      </c>
      <c r="N7" s="1">
        <v>10000</v>
      </c>
      <c r="O7" s="1">
        <v>1800</v>
      </c>
      <c r="P7" s="1">
        <v>2500</v>
      </c>
      <c r="Q7" s="1">
        <v>20000</v>
      </c>
      <c r="R7" s="1">
        <v>2500</v>
      </c>
      <c r="S7" s="1">
        <v>5000</v>
      </c>
      <c r="V7" s="1">
        <v>3000</v>
      </c>
      <c r="W7" s="1">
        <v>1500</v>
      </c>
      <c r="X7" s="1">
        <v>2000</v>
      </c>
      <c r="Y7" s="1">
        <v>750</v>
      </c>
      <c r="Z7" s="1">
        <v>4000</v>
      </c>
      <c r="AA7" s="1">
        <f t="shared" si="0"/>
        <v>158119</v>
      </c>
      <c r="AB7" s="5">
        <f t="shared" si="1"/>
        <v>79059.5</v>
      </c>
      <c r="AC7" s="1">
        <v>10000</v>
      </c>
      <c r="AD7" s="5">
        <f t="shared" si="2"/>
        <v>5940.5</v>
      </c>
      <c r="AE7" s="1">
        <v>95000</v>
      </c>
      <c r="AF7" s="6">
        <f t="shared" si="5"/>
        <v>71559.5</v>
      </c>
      <c r="AG7" s="7">
        <f t="shared" si="3"/>
        <v>63559.5</v>
      </c>
      <c r="AH7" s="8">
        <f t="shared" si="4"/>
        <v>135119</v>
      </c>
    </row>
    <row r="8" spans="1:34" ht="15" customHeight="1" x14ac:dyDescent="0.25">
      <c r="A8" s="1" t="s">
        <v>40</v>
      </c>
      <c r="D8" s="1">
        <v>15500</v>
      </c>
      <c r="E8" s="1">
        <v>10600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v>7500</v>
      </c>
      <c r="L8" s="1">
        <v>7500</v>
      </c>
      <c r="N8" s="1">
        <v>10000</v>
      </c>
      <c r="O8" s="1">
        <v>3600</v>
      </c>
      <c r="P8" s="1">
        <v>2500</v>
      </c>
      <c r="Q8" s="1">
        <v>20000</v>
      </c>
      <c r="R8" s="1">
        <v>2500</v>
      </c>
      <c r="S8" s="1">
        <v>5000</v>
      </c>
      <c r="U8" s="1">
        <v>1500</v>
      </c>
      <c r="V8" s="1">
        <v>3000</v>
      </c>
      <c r="W8" s="1">
        <v>1500</v>
      </c>
      <c r="X8" s="1">
        <v>2000</v>
      </c>
      <c r="Y8" s="1">
        <v>750</v>
      </c>
      <c r="Z8" s="1">
        <v>4000</v>
      </c>
      <c r="AA8" s="1">
        <f t="shared" si="0"/>
        <v>132050</v>
      </c>
      <c r="AB8" s="5">
        <f t="shared" si="1"/>
        <v>66025</v>
      </c>
      <c r="AC8" s="1">
        <v>10000</v>
      </c>
      <c r="AD8" s="5">
        <f t="shared" si="2"/>
        <v>18975</v>
      </c>
      <c r="AE8" s="1">
        <v>95000</v>
      </c>
      <c r="AF8" s="6">
        <f t="shared" si="5"/>
        <v>58525</v>
      </c>
      <c r="AG8" s="7">
        <f t="shared" si="3"/>
        <v>50525</v>
      </c>
      <c r="AH8" s="8">
        <f t="shared" si="4"/>
        <v>109050</v>
      </c>
    </row>
    <row r="9" spans="1:34" ht="15" customHeight="1" x14ac:dyDescent="0.25">
      <c r="A9" s="1" t="s">
        <v>41</v>
      </c>
      <c r="C9" s="1">
        <v>4369</v>
      </c>
      <c r="D9" s="1">
        <v>15500</v>
      </c>
      <c r="E9" s="1">
        <v>10600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v>7500</v>
      </c>
      <c r="L9" s="1">
        <v>7500</v>
      </c>
      <c r="N9" s="1">
        <v>10000</v>
      </c>
      <c r="O9" s="1">
        <v>3600</v>
      </c>
      <c r="P9" s="1">
        <v>2500</v>
      </c>
      <c r="Q9" s="1">
        <v>20000</v>
      </c>
      <c r="R9" s="1">
        <v>2500</v>
      </c>
      <c r="S9" s="1">
        <v>5000</v>
      </c>
      <c r="T9" s="1">
        <v>12000</v>
      </c>
      <c r="V9" s="1">
        <v>3000</v>
      </c>
      <c r="W9" s="1">
        <v>1500</v>
      </c>
      <c r="X9" s="1">
        <v>2000</v>
      </c>
      <c r="Y9" s="1">
        <v>750</v>
      </c>
      <c r="Z9" s="1">
        <v>4000</v>
      </c>
      <c r="AA9" s="1">
        <f t="shared" si="0"/>
        <v>146919</v>
      </c>
      <c r="AB9" s="5">
        <f t="shared" si="1"/>
        <v>73459.5</v>
      </c>
      <c r="AC9" s="1">
        <v>10000</v>
      </c>
      <c r="AD9" s="5">
        <f t="shared" si="2"/>
        <v>11540.5</v>
      </c>
      <c r="AE9" s="1">
        <v>95000</v>
      </c>
      <c r="AF9" s="6">
        <f t="shared" si="5"/>
        <v>65959.5</v>
      </c>
      <c r="AG9" s="7">
        <f t="shared" si="3"/>
        <v>57959.5</v>
      </c>
      <c r="AH9" s="8">
        <f t="shared" si="4"/>
        <v>123919</v>
      </c>
    </row>
    <row r="10" spans="1:34" ht="15" customHeight="1" x14ac:dyDescent="0.25">
      <c r="A10" s="1" t="s">
        <v>42</v>
      </c>
      <c r="D10" s="1">
        <v>15500</v>
      </c>
      <c r="E10" s="1">
        <v>10600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v>7500</v>
      </c>
      <c r="L10" s="1">
        <v>7500</v>
      </c>
      <c r="N10" s="1">
        <v>10000</v>
      </c>
      <c r="O10" s="1">
        <v>3600</v>
      </c>
      <c r="P10" s="1">
        <v>2500</v>
      </c>
      <c r="Q10" s="1">
        <v>20000</v>
      </c>
      <c r="R10" s="1">
        <v>2500</v>
      </c>
      <c r="S10" s="1">
        <v>5000</v>
      </c>
      <c r="V10" s="1">
        <v>3000</v>
      </c>
      <c r="W10" s="1">
        <v>1500</v>
      </c>
      <c r="X10" s="1">
        <v>2000</v>
      </c>
      <c r="Y10" s="1">
        <v>750</v>
      </c>
      <c r="Z10" s="1">
        <v>4000</v>
      </c>
      <c r="AA10" s="1">
        <f t="shared" si="0"/>
        <v>149450</v>
      </c>
      <c r="AB10" s="5">
        <f t="shared" si="1"/>
        <v>74725</v>
      </c>
      <c r="AC10" s="1">
        <v>10000</v>
      </c>
      <c r="AD10" s="5">
        <f t="shared" si="2"/>
        <v>10275</v>
      </c>
      <c r="AE10" s="1">
        <v>95000</v>
      </c>
      <c r="AF10" s="6">
        <f t="shared" si="5"/>
        <v>67225</v>
      </c>
      <c r="AG10" s="7">
        <f t="shared" si="3"/>
        <v>59225</v>
      </c>
      <c r="AH10" s="8">
        <f t="shared" si="4"/>
        <v>126450</v>
      </c>
    </row>
    <row r="12" spans="1:34" ht="15" customHeight="1" x14ac:dyDescent="0.25">
      <c r="A12" s="36" t="s">
        <v>43</v>
      </c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</row>
    <row r="13" spans="1:34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44</v>
      </c>
      <c r="U13" s="1" t="s">
        <v>21</v>
      </c>
      <c r="V13" s="1" t="s">
        <v>22</v>
      </c>
      <c r="W13" s="1" t="s">
        <v>45</v>
      </c>
      <c r="X13" s="1" t="s">
        <v>24</v>
      </c>
      <c r="Y13" s="1" t="s">
        <v>25</v>
      </c>
      <c r="Z13" s="1" t="s">
        <v>26</v>
      </c>
      <c r="AA13" s="1" t="s">
        <v>27</v>
      </c>
    </row>
    <row r="14" spans="1:34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 t="str">
        <f>IF(Mayo!D33&gt;0,Mayo!D33,"")</f>
        <v/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 t="str">
        <f>IF(Mayo!J33&gt;0,Mayo!J33,"")</f>
        <v/>
      </c>
      <c r="K14" s="1">
        <f>IF(Mayo!K33&gt;0,Mayo!K33,"")</f>
        <v>18082.010000000002</v>
      </c>
      <c r="L14" s="1" t="str">
        <f>IF(Mayo!L33&gt;0,Mayo!L33,"")</f>
        <v/>
      </c>
      <c r="M14" s="1" t="str">
        <f>IF(Mayo!M33&gt;0,Mayo!M33,"")</f>
        <v/>
      </c>
      <c r="N14" s="1" t="str">
        <f>IF(Mayo!N33&gt;0,Mayo!N33,"")</f>
        <v/>
      </c>
      <c r="O14" s="1" t="str">
        <f>IF(Mayo!O33&gt;0,Mayo!O33,"")</f>
        <v/>
      </c>
      <c r="P14" s="1" t="str">
        <f>IF(Mayo!P33&gt;0,Mayo!P33,"")</f>
        <v/>
      </c>
      <c r="Q14" s="1">
        <f>IF(Mayo!Q33&gt;0,Mayo!Q33,"")</f>
        <v>4256.21</v>
      </c>
      <c r="R14" s="1" t="str">
        <f>IF(Mayo!R33&gt;0,Mayo!R33,"")</f>
        <v/>
      </c>
      <c r="S14" s="1" t="str">
        <f>IF(Mayo!S33&gt;0,Mayo!S33,"")</f>
        <v/>
      </c>
      <c r="T14" s="1" t="str">
        <f>IF(Mayo!T33&gt;0,Mayo!T33,"")</f>
        <v/>
      </c>
      <c r="U14" s="1" t="str">
        <f>IF(Mayo!U33&gt;0,Mayo!U33,"")</f>
        <v/>
      </c>
      <c r="V14" s="1" t="str">
        <f>IF(Mayo!V33&gt;0,Mayo!V33,"")</f>
        <v/>
      </c>
      <c r="W14" s="1">
        <f>IF(Mayo!W33&gt;0,Mayo!W33,"")</f>
        <v>494.09</v>
      </c>
      <c r="X14" s="1" t="str">
        <f>IF(Mayo!X33&gt;0,Mayo!X33,"")</f>
        <v/>
      </c>
      <c r="Y14" s="1" t="str">
        <f>IF(Mayo!Y33&gt;0,Mayo!Y33,"")</f>
        <v/>
      </c>
      <c r="Z14" s="1">
        <f>IF(Mayo!Z33&gt;0,Mayo!Z33,"")</f>
        <v>2258.36</v>
      </c>
      <c r="AA14" s="1">
        <f>IF(Mayo!AA33&gt;0,Mayo!AA33,"")</f>
        <v>68130.490000000005</v>
      </c>
    </row>
    <row r="15" spans="1:34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 t="str">
        <f>IF(Junio!E32&gt;0,Junio!E32,"")</f>
        <v/>
      </c>
      <c r="F15" s="1" t="str">
        <f>IF(Junio!F32&gt;0,Junio!F32,"")</f>
        <v/>
      </c>
      <c r="G15" s="1" t="str">
        <f>IF(Junio!G32&gt;0,Junio!G32,"")</f>
        <v/>
      </c>
      <c r="H15" s="1" t="str">
        <f>IF(Junio!H32&gt;0,Junio!H32,"")</f>
        <v/>
      </c>
      <c r="I15" s="1" t="str">
        <f>IF(Junio!I32&gt;0,Junio!I32,"")</f>
        <v/>
      </c>
      <c r="J15" s="1" t="str">
        <f>IF(Junio!J32&gt;0,Junio!J32,"")</f>
        <v/>
      </c>
      <c r="K15" s="1" t="str">
        <f>IF(Junio!K32&gt;0,Junio!K32,"")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 t="str">
        <f>IF(Junio!R32&gt;0,Junio!R32,"")</f>
        <v/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 t="str">
        <f>IF(Junio!AA32&gt;0,Junio!AA32,"")</f>
        <v/>
      </c>
    </row>
    <row r="16" spans="1:34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</row>
    <row r="17" spans="1:27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</row>
    <row r="18" spans="1:27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</row>
    <row r="19" spans="1:27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7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7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7" ht="15" customHeight="1" x14ac:dyDescent="0.25">
      <c r="A23" s="37" t="s">
        <v>46</v>
      </c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</row>
    <row r="24" spans="1:27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44</v>
      </c>
      <c r="U24" s="1" t="s">
        <v>21</v>
      </c>
      <c r="V24" s="1" t="s">
        <v>22</v>
      </c>
      <c r="W24" s="1" t="s">
        <v>45</v>
      </c>
      <c r="X24" s="1" t="s">
        <v>24</v>
      </c>
      <c r="Y24" s="1" t="s">
        <v>25</v>
      </c>
      <c r="Z24" s="1" t="s">
        <v>26</v>
      </c>
      <c r="AA24" s="9" t="s">
        <v>47</v>
      </c>
    </row>
    <row r="25" spans="1:27" ht="15" customHeight="1" x14ac:dyDescent="0.25">
      <c r="A25" s="1" t="s">
        <v>35</v>
      </c>
      <c r="B25" s="1" t="str">
        <f>IF(ISNUMBER(Mayo!B33),B3-Mayo!B33,"")</f>
        <v/>
      </c>
      <c r="C25" s="1" t="str">
        <f>IF(ISNUMBER(Mayo!C33),C3-Mayo!C33,"")</f>
        <v/>
      </c>
      <c r="D25" s="1" t="str">
        <f>IF(ISNUMBER(Mayo!D33),D3-Mayo!D33,"")</f>
        <v/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 t="str">
        <f>IF(ISNUMBER(Mayo!J33),J3-Mayo!J33,"")</f>
        <v/>
      </c>
      <c r="K25" s="1">
        <f>IF(ISNUMBER(Mayo!K33),K3-Mayo!K33,"")</f>
        <v>17.989999999997963</v>
      </c>
      <c r="L25" s="1" t="str">
        <f>IF(ISNUMBER(Mayo!L33),L3-Mayo!L33,"")</f>
        <v/>
      </c>
      <c r="M25" s="1" t="str">
        <f>IF(ISNUMBER(Mayo!M33),M3-Mayo!M33,"")</f>
        <v/>
      </c>
      <c r="N25" s="1" t="str">
        <f>IF(ISNUMBER(Mayo!N33),N3-Mayo!N33,"")</f>
        <v/>
      </c>
      <c r="O25" s="1" t="str">
        <f>IF(ISNUMBER(Mayo!O33),O3-Mayo!O33,"")</f>
        <v/>
      </c>
      <c r="P25" s="1" t="str">
        <f>IF(ISNUMBER(Mayo!P33),P3-Mayo!P33,"")</f>
        <v/>
      </c>
      <c r="Q25" s="1">
        <f>IF(ISNUMBER(Mayo!Q33),Q3-Mayo!Q33,"")</f>
        <v>15743.79</v>
      </c>
      <c r="R25" s="1" t="str">
        <f>IF(ISNUMBER(Mayo!R33),R3-Mayo!R33,"")</f>
        <v/>
      </c>
      <c r="S25" s="1" t="str">
        <f>IF(ISNUMBER(Mayo!S33),S3-Mayo!S33,"")</f>
        <v/>
      </c>
      <c r="T25" s="1" t="str">
        <f>IF(ISNUMBER(Mayo!T33),T3-Mayo!T33,"")</f>
        <v/>
      </c>
      <c r="U25" s="1" t="str">
        <f>IF(ISNUMBER(Mayo!U33),U3-Mayo!U33,"")</f>
        <v/>
      </c>
      <c r="V25" s="1" t="str">
        <f>IF(ISNUMBER(Mayo!V33),V3-Mayo!V33,"")</f>
        <v/>
      </c>
      <c r="W25" s="1">
        <f>IF(ISNUMBER(Mayo!W33),W3-Mayo!W33,"")</f>
        <v>1005.9100000000001</v>
      </c>
      <c r="X25" s="1" t="str">
        <f>IF(ISNUMBER(Mayo!X33),X3-Mayo!X33,"")</f>
        <v/>
      </c>
      <c r="Y25" s="1" t="str">
        <f>IF(ISNUMBER(Mayo!Y33),Y3-Mayo!Y33,"")</f>
        <v/>
      </c>
      <c r="Z25" s="1">
        <f>IF(ISNUMBER(Mayo!Z33),Z3-Mayo!Z33,"")</f>
        <v>1741.6399999999999</v>
      </c>
      <c r="AA25" s="10">
        <f t="shared" ref="AA25:AA33" si="6">SUMIF(B25:Z25,"&lt;&gt;"&amp;"")</f>
        <v>19669.509999999998</v>
      </c>
    </row>
    <row r="26" spans="1:27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 t="str">
        <f>IF(ISNUMBER(Junio!E32),E4-Junio!E32,"")</f>
        <v/>
      </c>
      <c r="F26" s="1" t="str">
        <f>IF(ISNUMBER(Junio!F32),F4-Junio!F32,"")</f>
        <v/>
      </c>
      <c r="G26" s="1" t="str">
        <f>IF(ISNUMBER(Junio!G32),G4-Junio!G32,"")</f>
        <v/>
      </c>
      <c r="H26" s="1" t="str">
        <f>IF(ISNUMBER(Junio!H32),H4-Junio!H32,"")</f>
        <v/>
      </c>
      <c r="I26" s="1" t="str">
        <f>IF(ISNUMBER(Junio!I32),I4-Junio!I32,"")</f>
        <v/>
      </c>
      <c r="J26" s="1" t="str">
        <f>IF(ISNUMBER(Junio!J32),J4-Junio!J32,"")</f>
        <v/>
      </c>
      <c r="K26" s="1" t="str">
        <f>IF(ISNUMBER(Junio!K32),K4-Junio!K32,"")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 t="str">
        <f>IF(ISNUMBER(Junio!R32),R4-Junio!R32,"")</f>
        <v/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0">
        <f t="shared" si="6"/>
        <v>0</v>
      </c>
    </row>
    <row r="27" spans="1:27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0">
        <f t="shared" si="6"/>
        <v>0</v>
      </c>
    </row>
    <row r="28" spans="1:27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0">
        <f t="shared" si="6"/>
        <v>0</v>
      </c>
    </row>
    <row r="29" spans="1:27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0">
        <f t="shared" si="6"/>
        <v>0</v>
      </c>
    </row>
    <row r="30" spans="1:27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0">
        <f t="shared" si="6"/>
        <v>0</v>
      </c>
    </row>
    <row r="31" spans="1:27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0">
        <f t="shared" si="6"/>
        <v>0</v>
      </c>
    </row>
    <row r="32" spans="1:27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0">
        <f t="shared" si="6"/>
        <v>0</v>
      </c>
    </row>
    <row r="33" spans="1:27" ht="15" customHeight="1" x14ac:dyDescent="0.25">
      <c r="A33" s="11" t="s">
        <v>48</v>
      </c>
      <c r="B33" s="10">
        <f t="shared" ref="B33:Z33" si="7">SUMIF(B25:B32,"&lt;&gt;"&amp;"")</f>
        <v>0</v>
      </c>
      <c r="C33" s="10">
        <f t="shared" si="7"/>
        <v>0</v>
      </c>
      <c r="D33" s="10">
        <f t="shared" si="7"/>
        <v>0</v>
      </c>
      <c r="E33" s="10">
        <f t="shared" si="7"/>
        <v>30</v>
      </c>
      <c r="F33" s="10">
        <f t="shared" si="7"/>
        <v>46</v>
      </c>
      <c r="G33" s="10">
        <f t="shared" si="7"/>
        <v>20</v>
      </c>
      <c r="H33" s="10">
        <f t="shared" si="7"/>
        <v>208.44000000000005</v>
      </c>
      <c r="I33" s="10">
        <f t="shared" si="7"/>
        <v>855.73999999999978</v>
      </c>
      <c r="J33" s="10">
        <f t="shared" si="7"/>
        <v>0</v>
      </c>
      <c r="K33" s="10">
        <f t="shared" si="7"/>
        <v>17.989999999997963</v>
      </c>
      <c r="L33" s="10">
        <f t="shared" si="7"/>
        <v>0</v>
      </c>
      <c r="M33" s="10">
        <f t="shared" si="7"/>
        <v>0</v>
      </c>
      <c r="N33" s="10">
        <f t="shared" si="7"/>
        <v>0</v>
      </c>
      <c r="O33" s="10">
        <f t="shared" si="7"/>
        <v>0</v>
      </c>
      <c r="P33" s="10">
        <f t="shared" si="7"/>
        <v>0</v>
      </c>
      <c r="Q33" s="10">
        <f t="shared" si="7"/>
        <v>15743.79</v>
      </c>
      <c r="R33" s="10">
        <f t="shared" si="7"/>
        <v>0</v>
      </c>
      <c r="S33" s="10">
        <f t="shared" si="7"/>
        <v>0</v>
      </c>
      <c r="T33" s="10">
        <f t="shared" si="7"/>
        <v>0</v>
      </c>
      <c r="U33" s="10">
        <f t="shared" si="7"/>
        <v>0</v>
      </c>
      <c r="V33" s="10">
        <f t="shared" si="7"/>
        <v>0</v>
      </c>
      <c r="W33" s="10">
        <f t="shared" si="7"/>
        <v>1005.9100000000001</v>
      </c>
      <c r="X33" s="10">
        <f t="shared" si="7"/>
        <v>0</v>
      </c>
      <c r="Y33" s="10">
        <f t="shared" si="7"/>
        <v>0</v>
      </c>
      <c r="Z33" s="10">
        <f t="shared" si="7"/>
        <v>1741.6399999999999</v>
      </c>
      <c r="AA33" s="10">
        <f t="shared" si="6"/>
        <v>19669.509999999998</v>
      </c>
    </row>
    <row r="36" spans="1:27" ht="15.75" x14ac:dyDescent="0.25">
      <c r="A36" s="16" t="s">
        <v>54</v>
      </c>
    </row>
    <row r="37" spans="1:27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 t="s">
        <v>50</v>
      </c>
      <c r="L37" s="17" t="s">
        <v>52</v>
      </c>
      <c r="M37" s="17" t="s">
        <v>53</v>
      </c>
    </row>
    <row r="38" spans="1:27" x14ac:dyDescent="0.25">
      <c r="A38" s="18" t="s">
        <v>54</v>
      </c>
      <c r="B38" s="19">
        <v>400000</v>
      </c>
      <c r="C38" s="20"/>
      <c r="D38" s="20"/>
      <c r="E38" s="20"/>
      <c r="F38" s="20"/>
      <c r="G38" s="20"/>
      <c r="H38" s="20"/>
      <c r="I38" s="20"/>
      <c r="J38" s="20"/>
      <c r="K38" s="21">
        <f>SUM(C38:J38)</f>
        <v>0</v>
      </c>
      <c r="L38" s="22">
        <f>K38/2</f>
        <v>0</v>
      </c>
      <c r="M38" s="22">
        <f>K38/2</f>
        <v>0</v>
      </c>
    </row>
    <row r="39" spans="1:27" x14ac:dyDescent="0.25">
      <c r="A39" s="23" t="s">
        <v>55</v>
      </c>
      <c r="K39" s="24">
        <f>K38/B38</f>
        <v>0</v>
      </c>
    </row>
    <row r="41" spans="1:27" x14ac:dyDescent="0.25">
      <c r="A41" s="25" t="s">
        <v>56</v>
      </c>
    </row>
    <row r="42" spans="1:27" x14ac:dyDescent="0.25">
      <c r="A42" s="26" t="s">
        <v>57</v>
      </c>
      <c r="B42" s="26" t="s">
        <v>58</v>
      </c>
      <c r="C42" s="26" t="s">
        <v>59</v>
      </c>
    </row>
    <row r="43" spans="1:27" x14ac:dyDescent="0.25">
      <c r="A43" s="27"/>
      <c r="B43" s="28"/>
      <c r="C43" s="29"/>
    </row>
    <row r="44" spans="1:27" x14ac:dyDescent="0.25">
      <c r="A44" s="27"/>
      <c r="B44" s="28"/>
      <c r="C44" s="29"/>
    </row>
    <row r="45" spans="1:27" x14ac:dyDescent="0.25">
      <c r="A45" s="27"/>
      <c r="B45" s="28"/>
      <c r="C45" s="29"/>
    </row>
    <row r="46" spans="1:27" x14ac:dyDescent="0.25">
      <c r="A46" s="27"/>
      <c r="B46" s="28"/>
      <c r="C46" s="29"/>
    </row>
    <row r="47" spans="1:27" x14ac:dyDescent="0.25">
      <c r="A47" s="27"/>
      <c r="B47" s="28"/>
      <c r="C47" s="29"/>
    </row>
    <row r="48" spans="1:27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K38-C53</f>
        <v>0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tabSelected="1" topLeftCell="G23" zoomScaleNormal="100" workbookViewId="0">
      <selection activeCell="Q43" sqref="Q43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9.42578125" customWidth="1"/>
    <col min="12" max="12" width="22.42578125" customWidth="1"/>
    <col min="13" max="13" width="13" customWidth="1"/>
    <col min="14" max="14" width="22.28515625" customWidth="1"/>
    <col min="15" max="16" width="13" customWidth="1"/>
    <col min="17" max="18" width="10.28515625" bestFit="1" customWidth="1"/>
    <col min="19" max="19" width="7.140625" bestFit="1" customWidth="1"/>
    <col min="20" max="20" width="20.140625" customWidth="1"/>
    <col min="21" max="22" width="13" customWidth="1"/>
    <col min="23" max="23" width="17.42578125" bestFit="1" customWidth="1"/>
    <col min="24" max="24" width="9.140625" bestFit="1" customWidth="1"/>
    <col min="25" max="25" width="15.140625" bestFit="1" customWidth="1"/>
    <col min="26" max="26" width="6.5703125" bestFit="1" customWidth="1"/>
    <col min="27" max="27" width="13.28515625" bestFit="1" customWidth="1"/>
    <col min="28" max="28" width="25" customWidth="1"/>
  </cols>
  <sheetData>
    <row r="1" spans="1:28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>
        <v>2754.82</v>
      </c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2754.82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>
        <v>422.95</v>
      </c>
      <c r="R5" s="14"/>
      <c r="S5" s="14"/>
      <c r="T5" s="14"/>
      <c r="U5" s="14"/>
      <c r="V5" s="14"/>
      <c r="W5" s="14">
        <v>68.64</v>
      </c>
      <c r="X5" s="14"/>
      <c r="Y5" s="14"/>
      <c r="Z5" s="14"/>
      <c r="AA5" s="14">
        <f t="shared" si="0"/>
        <v>491.59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18924</v>
      </c>
      <c r="AB6" s="14"/>
    </row>
    <row r="7" spans="1:28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>
        <f>17828.45+253.56</f>
        <v>18082.010000000002</v>
      </c>
      <c r="L7" s="14"/>
      <c r="M7" s="14"/>
      <c r="N7" s="14"/>
      <c r="O7" s="14"/>
      <c r="P7" s="14"/>
      <c r="Q7" s="14">
        <v>135</v>
      </c>
      <c r="R7" s="14"/>
      <c r="S7" s="14"/>
      <c r="T7" s="14"/>
      <c r="U7" s="14"/>
      <c r="V7" s="14"/>
      <c r="W7" s="14">
        <v>334.65</v>
      </c>
      <c r="X7" s="14"/>
      <c r="Y7" s="14"/>
      <c r="Z7" s="14">
        <v>2258.36</v>
      </c>
      <c r="AA7" s="14">
        <f t="shared" si="0"/>
        <v>44925.840000000004</v>
      </c>
      <c r="AB7" s="14" t="s">
        <v>62</v>
      </c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>
        <f>454-8.26+506-8.3</f>
        <v>943.44</v>
      </c>
      <c r="R8" s="14"/>
      <c r="S8" s="14"/>
      <c r="T8" s="14"/>
      <c r="U8" s="14"/>
      <c r="V8" s="14"/>
      <c r="W8" s="14">
        <f>2.27*40</f>
        <v>90.8</v>
      </c>
      <c r="X8" s="14"/>
      <c r="Y8" s="14"/>
      <c r="Z8" s="14"/>
      <c r="AA8" s="14">
        <f t="shared" si="0"/>
        <v>1034.24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 t="str">
        <f t="shared" si="1"/>
        <v/>
      </c>
      <c r="K33" s="10">
        <f t="shared" si="1"/>
        <v>18082.010000000002</v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>
        <f t="shared" si="1"/>
        <v>4256.21</v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>
        <f t="shared" si="1"/>
        <v>494.09</v>
      </c>
      <c r="X33" s="10" t="str">
        <f t="shared" si="1"/>
        <v/>
      </c>
      <c r="Y33" s="10" t="str">
        <f t="shared" si="1"/>
        <v/>
      </c>
      <c r="Z33" s="10">
        <f t="shared" si="1"/>
        <v>2258.36</v>
      </c>
      <c r="AA33" s="10">
        <f t="shared" si="1"/>
        <v>68130.490000000005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2026-05-08T11:36:56Z</dcterms:modified>
  <dc:language>en-US</dc:language>
</cp:coreProperties>
</file>