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9" i="6" l="1"/>
  <c r="R19" i="6"/>
  <c r="S18" i="6"/>
  <c r="Q18" i="6"/>
  <c r="AA15" i="6" l="1"/>
  <c r="R15" i="6"/>
  <c r="O14" i="6" l="1"/>
  <c r="R14" i="6"/>
  <c r="R12" i="6"/>
  <c r="R11" i="6" l="1"/>
  <c r="R10" i="6" l="1"/>
  <c r="U9" i="6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AA18" i="1" s="1"/>
  <c r="Z32" i="6"/>
  <c r="Y32" i="6"/>
  <c r="X32" i="6"/>
  <c r="X29" i="1" s="1"/>
  <c r="W32" i="6"/>
  <c r="W18" i="1" s="1"/>
  <c r="V32" i="6"/>
  <c r="U32" i="6"/>
  <c r="U29" i="1" s="1"/>
  <c r="T32" i="6"/>
  <c r="S32" i="6"/>
  <c r="R32" i="6"/>
  <c r="R18" i="1" s="1"/>
  <c r="Q32" i="6"/>
  <c r="Q18" i="1" s="1"/>
  <c r="P32" i="6"/>
  <c r="P29" i="1" s="1"/>
  <c r="O32" i="6"/>
  <c r="N32" i="6"/>
  <c r="M32" i="6"/>
  <c r="M18" i="1" s="1"/>
  <c r="L32" i="6"/>
  <c r="L29" i="1" s="1"/>
  <c r="K32" i="6"/>
  <c r="K18" i="1" s="1"/>
  <c r="J32" i="6"/>
  <c r="J29" i="1" s="1"/>
  <c r="I32" i="6"/>
  <c r="H32" i="6"/>
  <c r="G32" i="6"/>
  <c r="F32" i="6"/>
  <c r="F29" i="1" s="1"/>
  <c r="E32" i="6"/>
  <c r="E29" i="1" s="1"/>
  <c r="D32" i="6"/>
  <c r="D18" i="1" s="1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Z29" i="1"/>
  <c r="Y29" i="1"/>
  <c r="V29" i="1"/>
  <c r="T29" i="1"/>
  <c r="S29" i="1"/>
  <c r="O29" i="1"/>
  <c r="N29" i="1"/>
  <c r="K29" i="1"/>
  <c r="I29" i="1"/>
  <c r="H29" i="1"/>
  <c r="G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Z18" i="1"/>
  <c r="Y18" i="1"/>
  <c r="V18" i="1"/>
  <c r="T18" i="1"/>
  <c r="S18" i="1"/>
  <c r="O18" i="1"/>
  <c r="N18" i="1"/>
  <c r="L18" i="1"/>
  <c r="J18" i="1"/>
  <c r="I18" i="1"/>
  <c r="H18" i="1"/>
  <c r="G18" i="1"/>
  <c r="C18" i="1"/>
  <c r="B18" i="1"/>
  <c r="Z17" i="1"/>
  <c r="U17" i="1"/>
  <c r="Q17" i="1"/>
  <c r="M17" i="1"/>
  <c r="K17" i="1"/>
  <c r="J17" i="1"/>
  <c r="I17" i="1"/>
  <c r="H17" i="1"/>
  <c r="G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M29" i="1" l="1"/>
  <c r="Q29" i="1"/>
  <c r="X18" i="1"/>
  <c r="D29" i="1"/>
  <c r="U18" i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C29" i="1" l="1"/>
  <c r="O33" i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<sst xmlns="http://schemas.openxmlformats.org/spreadsheetml/2006/main" count="413" uniqueCount="91">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</sst>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abSelected="1" zoomScaleNormal="100" workbookViewId="0">
      <selection activeCell="E18" sqref="E18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15706.32</v>
      </c>
      <c r="E7" s="1">
        <v>500</v>
      </c>
      <c r="F7" s="1">
        <v>27000</v>
      </c>
      <c r="G7" s="1">
        <v>1100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23000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174955.32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64477.66</v>
      </c>
      <c r="AI7" s="9">
        <f t="shared" si="4"/>
        <v>71771.34</v>
      </c>
      <c r="AJ7" s="10">
        <f t="shared" si="5"/>
        <v>136249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19000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159460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72230</v>
      </c>
      <c r="AI8" s="9">
        <f t="shared" si="4"/>
        <v>63980</v>
      </c>
      <c r="AJ8" s="10">
        <f t="shared" si="5"/>
        <v>136210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19000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138879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61939.5</v>
      </c>
      <c r="AI9" s="9">
        <f t="shared" si="4"/>
        <v>53639.5</v>
      </c>
      <c r="AJ9" s="10">
        <f t="shared" si="5"/>
        <v>115579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19000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152510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68755</v>
      </c>
      <c r="AI10" s="9">
        <f t="shared" si="4"/>
        <v>60455</v>
      </c>
      <c r="AJ10" s="10">
        <f t="shared" si="5"/>
        <v>129210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>
        <f>IF(Setiembre!C32&gt;0,Setiembre!C32,"")</f>
        <v>4369</v>
      </c>
      <c r="D18" s="1">
        <f>IF(Setiembre!D32&gt;0,Setiembre!D32,"")</f>
        <v>15706.32</v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>
        <f>IF(Setiembre!J32&gt;0,Setiembre!J32,"")</f>
        <v>1000</v>
      </c>
      <c r="K18" s="1">
        <f>IF(Setiembre!K32&gt;0,Setiembre!K32,"")</f>
        <v>23112.77</v>
      </c>
      <c r="L18" s="1">
        <f>IF(Setiembre!L32&gt;0,Setiembre!L32,"")</f>
        <v>7502.34</v>
      </c>
      <c r="M18" s="1">
        <f>IF(Setiembre!M32&gt;0,Setiembre!M32,"")</f>
        <v>23081.75</v>
      </c>
      <c r="N18" s="1">
        <f>IF(Setiembre!N32&gt;0,Setiembre!N32,"")</f>
        <v>810</v>
      </c>
      <c r="O18" s="1">
        <f>IF(Setiembre!O32&gt;0,Setiembre!O32,"")</f>
        <v>491.81</v>
      </c>
      <c r="P18" s="1">
        <f>IF(Setiembre!P32&gt;0,Setiembre!P32,"")</f>
        <v>1800</v>
      </c>
      <c r="Q18" s="1">
        <f>IF(Setiembre!Q32&gt;0,Setiembre!Q32,"")</f>
        <v>2508.1999999999998</v>
      </c>
      <c r="R18" s="1">
        <f>IF(Setiembre!R32&gt;0,Setiembre!R32,"")</f>
        <v>15551.64</v>
      </c>
      <c r="S18" s="1">
        <f>IF(Setiembre!S32&gt;0,Setiembre!S32,"")</f>
        <v>911.25</v>
      </c>
      <c r="T18" s="1" t="str">
        <f>IF(Setiembre!T32&gt;0,Setiembre!T32,"")</f>
        <v/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1947.54</v>
      </c>
      <c r="X18" s="1">
        <f>IF(Setiembre!X32&gt;0,Setiembre!X32,"")</f>
        <v>215</v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2297.0300000000002</v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>
        <f>IF(ISNUMBER(Setiembre!C32),C7-Setiembre!C32,"")</f>
        <v>0</v>
      </c>
      <c r="D29" s="1">
        <f>IF(ISNUMBER(Setiembre!D32),D7-Setiembre!D32,"")</f>
        <v>0</v>
      </c>
      <c r="E29" s="1">
        <f>IF(ISNUMBER(Setiembre!E32),E7-Setiembre!E32,"")</f>
        <v>2</v>
      </c>
      <c r="F29" s="1">
        <f>IF(ISNUMBER(Setiembre!F32),F7-Setiembre!F32,"")</f>
        <v>208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>
        <f>IF(ISNUMBER(Setiembre!J32),J7-Setiembre!J32,"")</f>
        <v>0</v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>
        <f>IF(ISNUMBER(Setiembre!M32),M7-Setiembre!M32,"")</f>
        <v>-81.75</v>
      </c>
      <c r="N29" s="1">
        <f>IF(ISNUMBER(Setiembre!N32),N7-Setiembre!N32,"")</f>
        <v>0</v>
      </c>
      <c r="O29" s="1">
        <f>IF(ISNUMBER(Setiembre!O32),O7-Setiembre!O32,"")</f>
        <v>7508.19</v>
      </c>
      <c r="P29" s="1">
        <f>IF(ISNUMBER(Setiembre!P32),P7-Setiembre!P32,"")</f>
        <v>0</v>
      </c>
      <c r="Q29" s="1">
        <f>IF(ISNUMBER(Setiembre!Q32),Q7-Setiembre!Q32,"")</f>
        <v>-8.1999999999998181</v>
      </c>
      <c r="R29" s="1">
        <f>IF(ISNUMBER(Setiembre!R32),R7-Setiembre!R32,"")</f>
        <v>3448.3600000000006</v>
      </c>
      <c r="S29" s="1">
        <f>IF(ISNUMBER(Setiembre!S32),S7-Setiembre!S32,"")</f>
        <v>1088.75</v>
      </c>
      <c r="T29" s="1" t="str">
        <f>IF(ISNUMBER(Setiembre!T32),T7-Setiembre!T32,"")</f>
        <v/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1052.46</v>
      </c>
      <c r="X29" s="1">
        <f>IF(ISNUMBER(Setiembre!X32),X7-Setiembre!X32,"")</f>
        <v>585</v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2702.97</v>
      </c>
      <c r="AC29" s="12">
        <f t="shared" si="7"/>
        <v>16671.070000000003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-358.81999999999971</v>
      </c>
      <c r="F33" s="12">
        <f t="shared" si="8"/>
        <v>-1678</v>
      </c>
      <c r="G33" s="12">
        <f t="shared" si="8"/>
        <v>5</v>
      </c>
      <c r="H33" s="12">
        <f t="shared" si="8"/>
        <v>425.32000000000016</v>
      </c>
      <c r="I33" s="12">
        <f t="shared" si="8"/>
        <v>1076.5399999999995</v>
      </c>
      <c r="J33" s="12">
        <f t="shared" si="8"/>
        <v>300</v>
      </c>
      <c r="K33" s="12">
        <f t="shared" si="8"/>
        <v>101.29999999999791</v>
      </c>
      <c r="L33" s="12">
        <f t="shared" si="8"/>
        <v>332.19999999999709</v>
      </c>
      <c r="M33" s="12">
        <f t="shared" si="8"/>
        <v>-13678.119999999999</v>
      </c>
      <c r="N33" s="12">
        <f t="shared" si="8"/>
        <v>80</v>
      </c>
      <c r="O33" s="12">
        <f t="shared" si="8"/>
        <v>13614.39</v>
      </c>
      <c r="P33" s="12">
        <f t="shared" si="8"/>
        <v>1800</v>
      </c>
      <c r="Q33" s="12">
        <f t="shared" si="8"/>
        <v>42.620000000000346</v>
      </c>
      <c r="R33" s="12">
        <f t="shared" si="8"/>
        <v>7766.23</v>
      </c>
      <c r="S33" s="12">
        <f t="shared" si="8"/>
        <v>3024.4300000000003</v>
      </c>
      <c r="T33" s="12">
        <f t="shared" si="8"/>
        <v>1227.0300000000007</v>
      </c>
      <c r="U33" s="12">
        <f t="shared" si="8"/>
        <v>619.26000000000022</v>
      </c>
      <c r="V33" s="12">
        <f t="shared" si="8"/>
        <v>0</v>
      </c>
      <c r="W33" s="12">
        <f t="shared" si="8"/>
        <v>2783.6</v>
      </c>
      <c r="X33" s="12">
        <f t="shared" si="8"/>
        <v>3764.7</v>
      </c>
      <c r="Y33" s="12">
        <f t="shared" si="8"/>
        <v>767.64000000000033</v>
      </c>
      <c r="Z33" s="12">
        <f t="shared" si="8"/>
        <v>-1650</v>
      </c>
      <c r="AA33" s="12">
        <f t="shared" si="8"/>
        <v>-15235.9</v>
      </c>
      <c r="AC33" s="12">
        <f t="shared" si="7"/>
        <v>5186.1299999999956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M20" sqref="M20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263-4.57+952-16.36</f>
        <v>1194.0700000000002</v>
      </c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1194.0700000000002</v>
      </c>
      <c r="AD10" s="35"/>
    </row>
    <row r="11" spans="1:30" ht="15" customHeight="1" x14ac:dyDescent="0.25">
      <c r="A11" s="34">
        <v>10</v>
      </c>
      <c r="B11" s="35"/>
      <c r="C11" s="35"/>
      <c r="D11" s="35">
        <v>15706.32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746+720-12.65-53.11</f>
        <v>1400.24</v>
      </c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17106.560000000001</v>
      </c>
      <c r="AD11" s="35"/>
    </row>
    <row r="12" spans="1:30" ht="15" customHeight="1" x14ac:dyDescent="0.25">
      <c r="A12" s="34">
        <v>11</v>
      </c>
      <c r="B12" s="35"/>
      <c r="C12" s="35">
        <v>4369</v>
      </c>
      <c r="D12" s="35"/>
      <c r="E12" s="35"/>
      <c r="F12" s="35"/>
      <c r="G12" s="35"/>
      <c r="H12" s="35"/>
      <c r="I12" s="35"/>
      <c r="J12" s="35">
        <v>1000</v>
      </c>
      <c r="K12" s="35"/>
      <c r="L12" s="35"/>
      <c r="M12" s="35"/>
      <c r="N12" s="35">
        <v>810</v>
      </c>
      <c r="O12" s="35"/>
      <c r="P12" s="35"/>
      <c r="Q12" s="35"/>
      <c r="R12" s="35">
        <f>898-14.72+0.94+785.75-14.29</f>
        <v>1655.68</v>
      </c>
      <c r="S12" s="35"/>
      <c r="T12" s="35"/>
      <c r="U12" s="35"/>
      <c r="V12" s="35"/>
      <c r="W12" s="35"/>
      <c r="X12" s="35"/>
      <c r="Y12" s="35"/>
      <c r="Z12" s="35"/>
      <c r="AA12" s="35">
        <v>270</v>
      </c>
      <c r="AB12" s="36"/>
      <c r="AC12" s="35">
        <f t="shared" si="0"/>
        <v>8104.68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>
        <f>500-8.19</f>
        <v>491.81</v>
      </c>
      <c r="P14" s="35"/>
      <c r="Q14" s="35"/>
      <c r="R14" s="35">
        <f>180-2.95+197-3.23+80-5.9+240+460+450-7.38+248-4.07+315-5.72</f>
        <v>2140.7500000000005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2632.5600000000004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761-13.2</f>
        <v>747.8</v>
      </c>
      <c r="S15" s="35"/>
      <c r="T15" s="35"/>
      <c r="U15" s="35"/>
      <c r="V15" s="35"/>
      <c r="W15" s="35"/>
      <c r="X15" s="35"/>
      <c r="Y15" s="35"/>
      <c r="Z15" s="35"/>
      <c r="AA15" s="35">
        <f>128-2.1</f>
        <v>125.9</v>
      </c>
      <c r="AB15" s="36"/>
      <c r="AC15" s="35">
        <f t="shared" si="0"/>
        <v>873.69999999999993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215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>
        <f>2550-41.8</f>
        <v>2508.1999999999998</v>
      </c>
      <c r="R18" s="35"/>
      <c r="S18" s="35">
        <f>926-14.75</f>
        <v>911.25</v>
      </c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3419.45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>
        <f>21570.71+1511.04</f>
        <v>23081.75</v>
      </c>
      <c r="N19" s="35"/>
      <c r="O19" s="35"/>
      <c r="P19" s="35"/>
      <c r="Q19" s="35"/>
      <c r="R19" s="35">
        <f>469+432+1666-7.31-26.74-8.53</f>
        <v>2524.42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25606.17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>
        <f t="shared" si="1"/>
        <v>4369</v>
      </c>
      <c r="D32" s="12">
        <f t="shared" si="1"/>
        <v>15706.32</v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>
        <f t="shared" si="1"/>
        <v>1000</v>
      </c>
      <c r="K32" s="12">
        <f t="shared" si="1"/>
        <v>23112.77</v>
      </c>
      <c r="L32" s="12">
        <f t="shared" si="1"/>
        <v>7502.34</v>
      </c>
      <c r="M32" s="12">
        <f t="shared" si="1"/>
        <v>23081.75</v>
      </c>
      <c r="N32" s="12">
        <f t="shared" si="1"/>
        <v>810</v>
      </c>
      <c r="O32" s="12">
        <f t="shared" si="1"/>
        <v>491.81</v>
      </c>
      <c r="P32" s="12">
        <f t="shared" si="1"/>
        <v>1800</v>
      </c>
      <c r="Q32" s="12">
        <f t="shared" si="1"/>
        <v>2508.1999999999998</v>
      </c>
      <c r="R32" s="12">
        <f t="shared" si="1"/>
        <v>15551.64</v>
      </c>
      <c r="S32" s="12">
        <f t="shared" si="1"/>
        <v>911.25</v>
      </c>
      <c r="T32" s="12" t="str">
        <f t="shared" si="1"/>
        <v/>
      </c>
      <c r="U32" s="12">
        <f t="shared" si="1"/>
        <v>13110.49</v>
      </c>
      <c r="V32" s="12" t="str">
        <f t="shared" si="1"/>
        <v/>
      </c>
      <c r="W32" s="12">
        <f t="shared" si="1"/>
        <v>1947.54</v>
      </c>
      <c r="X32" s="12">
        <f t="shared" si="1"/>
        <v>215</v>
      </c>
      <c r="Y32" s="12" t="str">
        <f t="shared" si="1"/>
        <v/>
      </c>
      <c r="Z32" s="12" t="str">
        <f t="shared" si="1"/>
        <v/>
      </c>
      <c r="AA32" s="12">
        <f t="shared" si="1"/>
        <v>2297.0300000000002</v>
      </c>
      <c r="AB32" s="38" t="str">
        <f t="shared" si="1"/>
        <v/>
      </c>
      <c r="AC32" s="12">
        <f t="shared" si="1"/>
        <v>148684.25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2026-09-19T08:47:32Z</dcterms:modified>
  <dc:language>en-US</dc:language>
</cp:coreProperties>
</file>