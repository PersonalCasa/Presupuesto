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6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" i="1" l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X33" i="7"/>
  <c r="W33" i="7"/>
  <c r="V33" i="7"/>
  <c r="U33" i="7"/>
  <c r="T33" i="7"/>
  <c r="T19" i="1" s="1"/>
  <c r="S33" i="7"/>
  <c r="R33" i="7"/>
  <c r="R19" i="1" s="1"/>
  <c r="Q33" i="7"/>
  <c r="P33" i="7"/>
  <c r="O33" i="7"/>
  <c r="N33" i="7"/>
  <c r="N30" i="1" s="1"/>
  <c r="M33" i="7"/>
  <c r="L33" i="7"/>
  <c r="L30" i="1" s="1"/>
  <c r="K33" i="7"/>
  <c r="K30" i="1" s="1"/>
  <c r="J33" i="7"/>
  <c r="J30" i="1" s="1"/>
  <c r="I33" i="7"/>
  <c r="H33" i="7"/>
  <c r="G33" i="7"/>
  <c r="F33" i="7"/>
  <c r="F19" i="1" s="1"/>
  <c r="E33" i="7"/>
  <c r="D33" i="7"/>
  <c r="C33" i="7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S30" i="1"/>
  <c r="Q30" i="1"/>
  <c r="P30" i="1"/>
  <c r="O30" i="1"/>
  <c r="M30" i="1"/>
  <c r="I30" i="1"/>
  <c r="H30" i="1"/>
  <c r="G30" i="1"/>
  <c r="E30" i="1"/>
  <c r="D30" i="1"/>
  <c r="C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Z19" i="1"/>
  <c r="Y19" i="1"/>
  <c r="X19" i="1"/>
  <c r="W19" i="1"/>
  <c r="V19" i="1"/>
  <c r="U19" i="1"/>
  <c r="S19" i="1"/>
  <c r="Q19" i="1"/>
  <c r="P19" i="1"/>
  <c r="O19" i="1"/>
  <c r="N19" i="1"/>
  <c r="M19" i="1"/>
  <c r="J19" i="1"/>
  <c r="I19" i="1"/>
  <c r="H19" i="1"/>
  <c r="G19" i="1"/>
  <c r="E19" i="1"/>
  <c r="D19" i="1"/>
  <c r="C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A30" i="1" l="1"/>
  <c r="L19" i="1"/>
  <c r="K19" i="1"/>
  <c r="T30" i="1"/>
  <c r="R30" i="1"/>
  <c r="AC30" i="1" s="1"/>
  <c r="AC33" i="7"/>
  <c r="F30" i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<sst xmlns="http://schemas.openxmlformats.org/spreadsheetml/2006/main" count="414" uniqueCount="92">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</sst>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A16" zoomScaleNormal="100" workbookViewId="0">
      <selection activeCell="B30" sqref="B30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25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2200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18000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191436.14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77718.070000000007</v>
      </c>
      <c r="AI8" s="9">
        <f t="shared" si="4"/>
        <v>79968.070000000007</v>
      </c>
      <c r="AJ8" s="10">
        <f t="shared" si="5"/>
        <v>157686.14000000001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25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25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>
        <f>IF(Octubre!F33&gt;0,Octubre!F33,"")</f>
        <v>18447</v>
      </c>
      <c r="G19" s="1" t="str">
        <f>IF(Octubre!G33&gt;0,Octubre!G33,"")</f>
        <v/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 t="str">
        <f>IF(Octubre!M33&gt;0,Octubre!M33,"")</f>
        <v/>
      </c>
      <c r="N19" s="1">
        <f>IF(Octubre!N33&gt;0,Octubre!N33,"")</f>
        <v>810</v>
      </c>
      <c r="O19" s="1">
        <f>IF(Octubre!O33&gt;0,Octubre!O33,"")</f>
        <v>491.81</v>
      </c>
      <c r="P19" s="1" t="str">
        <f>IF(Octubre!P33&gt;0,Octubre!P33,"")</f>
        <v/>
      </c>
      <c r="Q19" s="1" t="str">
        <f>IF(Octubre!Q33&gt;0,Octubre!Q33,"")</f>
        <v/>
      </c>
      <c r="R19" s="1">
        <f>IF(Octubre!R33&gt;0,Octubre!R33,"")</f>
        <v>7019.1100000000006</v>
      </c>
      <c r="S19" s="1" t="str">
        <f>IF(Octubre!S33&gt;0,Octubre!S33,"")</f>
        <v/>
      </c>
      <c r="T19" s="1">
        <f>IF(Octubre!T33&gt;0,Octubre!T33,"")</f>
        <v>1534.43</v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2500</v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25">
      <c r="A30" s="1" t="s">
        <v>42</v>
      </c>
      <c r="B30" s="1" t="str">
        <f>IF(ISNUMBER(Setiembre!B33),B9-Setiembre!B33,"")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>
        <f>IF(ISNUMBER(Octubre!F33),F8-Octubre!F33,"")</f>
        <v>9053</v>
      </c>
      <c r="G30" s="1" t="str">
        <f>IF(ISNUMBER(Octubre!G33),G8-Octubre!G33,"")</f>
        <v/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 t="str">
        <f>IF(ISNUMBER(Octubre!M33),M8-Octubre!M33,"")</f>
        <v/>
      </c>
      <c r="N30" s="1">
        <f>IF(ISNUMBER(Octubre!N33),N8-Octubre!N33,"")</f>
        <v>0</v>
      </c>
      <c r="O30" s="1">
        <f>IF(ISNUMBER(Octubre!O33),O8-Octubre!O33,"")</f>
        <v>3908.19</v>
      </c>
      <c r="P30" s="1" t="str">
        <f>IF(ISNUMBER(Octubre!P33),P8-Octubre!P33,"")</f>
        <v/>
      </c>
      <c r="Q30" s="1" t="str">
        <f>IF(ISNUMBER(Octubre!Q33),Q8-Octubre!Q33,"")</f>
        <v/>
      </c>
      <c r="R30" s="1">
        <f>IF(ISNUMBER(Octubre!R33),R8-Octubre!R33,"")</f>
        <v>12980.89</v>
      </c>
      <c r="S30" s="1" t="str">
        <f>IF(ISNUMBER(Octubre!S33),S8-Octubre!S33,"")</f>
        <v/>
      </c>
      <c r="T30" s="1">
        <f>IF(ISNUMBER(Octubre!T33),T8-Octubre!T33,"")</f>
        <v>3465.5699999999997</v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2500</v>
      </c>
      <c r="AC30" s="12">
        <f t="shared" si="7"/>
        <v>31652.38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7875</v>
      </c>
      <c r="G33" s="12">
        <f t="shared" si="8"/>
        <v>5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-13678.119999999999</v>
      </c>
      <c r="N33" s="12">
        <f t="shared" si="8"/>
        <v>80</v>
      </c>
      <c r="O33" s="12">
        <f t="shared" si="8"/>
        <v>14617.86</v>
      </c>
      <c r="P33" s="12">
        <f t="shared" si="8"/>
        <v>0</v>
      </c>
      <c r="Q33" s="12">
        <f t="shared" si="8"/>
        <v>42.620000000000346</v>
      </c>
      <c r="R33" s="12">
        <f t="shared" si="8"/>
        <v>10400.850000000002</v>
      </c>
      <c r="S33" s="12">
        <f t="shared" si="8"/>
        <v>2761.5400000000004</v>
      </c>
      <c r="T33" s="12">
        <f t="shared" si="8"/>
        <v>7503.5400000000009</v>
      </c>
      <c r="U33" s="12">
        <f t="shared" si="8"/>
        <v>619.26000000000022</v>
      </c>
      <c r="V33" s="12">
        <f t="shared" si="8"/>
        <v>0</v>
      </c>
      <c r="W33" s="12">
        <f t="shared" si="8"/>
        <v>1483.6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-12813.599999999999</v>
      </c>
      <c r="AC33" s="12">
        <f t="shared" si="7"/>
        <v>23457.869999999995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R16" zoomScaleNormal="100" workbookViewId="0">
      <selection activeCell="R31" sqref="R3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S1" zoomScaleNormal="100" workbookViewId="0">
      <selection activeCell="AD13" sqref="AD1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5703125" customWidth="1"/>
    <col min="5" max="12" width="13" customWidth="1"/>
    <col min="13" max="13" width="17.140625" customWidth="1"/>
    <col min="14" max="25" width="13" customWidth="1"/>
    <col min="26" max="26" width="15.28515625" customWidth="1"/>
    <col min="27" max="27" width="13" customWidth="1"/>
    <col min="28" max="28" width="14" customWidth="1"/>
    <col min="29" max="29" width="25" customWidth="1"/>
    <col min="30" max="30" width="23.710937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25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29638.14</v>
      </c>
      <c r="AD9" s="35" t="s">
        <v>91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17990.03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>
        <f>IF(COUNTA(B2:B32)&gt;0,SUM(B2:B32),"")</f>
        <v>27138.14</v>
      </c>
      <c r="C33" s="12" t="str">
        <f t="shared" ref="B33:AC33" si="1">IF(COUNTA(C2:C32)&gt;0,SUM(C2:C32),"")</f>
        <v/>
      </c>
      <c r="D33" s="12" t="str">
        <f t="shared" si="1"/>
        <v/>
      </c>
      <c r="E33" s="12" t="str">
        <f t="shared" si="1"/>
        <v/>
      </c>
      <c r="F33" s="12">
        <f t="shared" si="1"/>
        <v>18447</v>
      </c>
      <c r="G33" s="12" t="str">
        <f t="shared" si="1"/>
        <v/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 t="str">
        <f t="shared" si="1"/>
        <v/>
      </c>
      <c r="N33" s="12">
        <f t="shared" si="1"/>
        <v>810</v>
      </c>
      <c r="O33" s="12">
        <f t="shared" si="1"/>
        <v>491.81</v>
      </c>
      <c r="P33" s="12" t="str">
        <f t="shared" si="1"/>
        <v/>
      </c>
      <c r="Q33" s="12" t="str">
        <f t="shared" si="1"/>
        <v/>
      </c>
      <c r="R33" s="12">
        <f t="shared" si="1"/>
        <v>7019.1100000000006</v>
      </c>
      <c r="S33" s="12" t="str">
        <f t="shared" si="1"/>
        <v/>
      </c>
      <c r="T33" s="12">
        <f t="shared" si="1"/>
        <v>1534.43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>
        <f t="shared" si="1"/>
        <v>2500</v>
      </c>
      <c r="AB33" s="38" t="str">
        <f t="shared" si="1"/>
        <v/>
      </c>
      <c r="AC33" s="12">
        <f t="shared" si="1"/>
        <v>109933.75999999999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2026-10-09T11:17:28Z</dcterms:modified>
  <dc:language>en-US</dc:language>
</cp:coreProperties>
</file>