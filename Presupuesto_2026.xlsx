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EFBC3B49-17D0-4BC9-A938-1EEDA46E02E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30" i="2" l="1"/>
  <c r="Q29" i="2"/>
  <c r="Q28" i="2"/>
  <c r="X27" i="2"/>
  <c r="Q27" i="2"/>
  <c r="Q26" i="2"/>
  <c r="Q25" i="2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<sst xmlns="http://schemas.openxmlformats.org/spreadsheetml/2006/main" count="375" uniqueCount="70">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</sst>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L13" zoomScaleNormal="100" workbookViewId="0">
      <selection activeCell="S27" sqref="S27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143100</v>
      </c>
      <c r="AB4" s="5">
        <f t="shared" si="1"/>
        <v>71550</v>
      </c>
      <c r="AC4" s="1">
        <v>10000</v>
      </c>
      <c r="AD4" s="5">
        <f t="shared" si="2"/>
        <v>13450</v>
      </c>
      <c r="AE4" s="1">
        <v>95000</v>
      </c>
      <c r="AF4" s="6">
        <f t="shared" ref="AF4:AF10" si="5">AA4/2-L4</f>
        <v>64050</v>
      </c>
      <c r="AG4" s="7">
        <f t="shared" si="3"/>
        <v>56050</v>
      </c>
      <c r="AH4" s="8">
        <f t="shared" si="4"/>
        <v>120100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134869</v>
      </c>
      <c r="AB5" s="5">
        <f t="shared" si="1"/>
        <v>67434.5</v>
      </c>
      <c r="AC5" s="1">
        <v>10000</v>
      </c>
      <c r="AD5" s="5">
        <f t="shared" si="2"/>
        <v>17565.5</v>
      </c>
      <c r="AE5" s="1">
        <v>95000</v>
      </c>
      <c r="AF5" s="6">
        <f t="shared" si="5"/>
        <v>59934.5</v>
      </c>
      <c r="AG5" s="7">
        <f t="shared" si="3"/>
        <v>51934.5</v>
      </c>
      <c r="AH5" s="8">
        <f t="shared" si="4"/>
        <v>111869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129000</v>
      </c>
      <c r="AB6" s="5">
        <f t="shared" si="1"/>
        <v>64500</v>
      </c>
      <c r="AC6" s="1">
        <v>10000</v>
      </c>
      <c r="AD6" s="5">
        <f t="shared" si="2"/>
        <v>20500</v>
      </c>
      <c r="AE6" s="1">
        <v>95000</v>
      </c>
      <c r="AF6" s="6">
        <f t="shared" si="5"/>
        <v>57000</v>
      </c>
      <c r="AG6" s="7">
        <f t="shared" si="3"/>
        <v>49000</v>
      </c>
      <c r="AH6" s="8">
        <f t="shared" si="4"/>
        <v>106000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159719</v>
      </c>
      <c r="AB7" s="5">
        <f t="shared" si="1"/>
        <v>79859.5</v>
      </c>
      <c r="AC7" s="1">
        <v>10000</v>
      </c>
      <c r="AD7" s="5">
        <f t="shared" si="2"/>
        <v>5140.5</v>
      </c>
      <c r="AE7" s="1">
        <v>95000</v>
      </c>
      <c r="AF7" s="6">
        <f t="shared" si="5"/>
        <v>72359.5</v>
      </c>
      <c r="AG7" s="7">
        <f t="shared" si="3"/>
        <v>64359.5</v>
      </c>
      <c r="AH7" s="8">
        <f t="shared" si="4"/>
        <v>136719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144300</v>
      </c>
      <c r="AB8" s="5">
        <f t="shared" si="1"/>
        <v>72150</v>
      </c>
      <c r="AC8" s="1">
        <v>10000</v>
      </c>
      <c r="AD8" s="5">
        <f t="shared" si="2"/>
        <v>12850</v>
      </c>
      <c r="AE8" s="1">
        <v>95000</v>
      </c>
      <c r="AF8" s="6">
        <f t="shared" si="5"/>
        <v>64650</v>
      </c>
      <c r="AG8" s="7">
        <f t="shared" si="3"/>
        <v>56650</v>
      </c>
      <c r="AH8" s="8">
        <f t="shared" si="4"/>
        <v>121300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135169</v>
      </c>
      <c r="AB9" s="5">
        <f t="shared" si="1"/>
        <v>67584.5</v>
      </c>
      <c r="AC9" s="1">
        <v>10000</v>
      </c>
      <c r="AD9" s="5">
        <f t="shared" si="2"/>
        <v>17415.5</v>
      </c>
      <c r="AE9" s="1">
        <v>95000</v>
      </c>
      <c r="AF9" s="6">
        <f t="shared" si="5"/>
        <v>60084.5</v>
      </c>
      <c r="AG9" s="7">
        <f t="shared" si="3"/>
        <v>52084.5</v>
      </c>
      <c r="AH9" s="8">
        <f t="shared" si="4"/>
        <v>112169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151050</v>
      </c>
      <c r="AB10" s="5">
        <f t="shared" si="1"/>
        <v>75525</v>
      </c>
      <c r="AC10" s="1">
        <v>10000</v>
      </c>
      <c r="AD10" s="5">
        <f t="shared" si="2"/>
        <v>9475</v>
      </c>
      <c r="AE10" s="1">
        <v>95000</v>
      </c>
      <c r="AF10" s="6">
        <f t="shared" si="5"/>
        <v>68025</v>
      </c>
      <c r="AG10" s="7">
        <f t="shared" si="3"/>
        <v>60025</v>
      </c>
      <c r="AH10" s="8">
        <f t="shared" si="4"/>
        <v>128050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8780.76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19619.210000000003</v>
      </c>
      <c r="R14" s="1">
        <f>IF(Mayo!R33&gt;0,Mayo!R33,"")</f>
        <v>150</v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>
        <f>IF(Mayo!X33&gt;0,Mayo!X33,"")</f>
        <v>1780.33</v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157822.02999999997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1219.2399999999998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380.78999999999724</v>
      </c>
      <c r="R25" s="1">
        <f>IF(ISNUMBER(Mayo!R33),R3-Mayo!R33,"")</f>
        <v>2350</v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>
        <f>IF(ISNUMBER(Mayo!X33),X3-Mayo!X33,"")</f>
        <v>219.67000000000007</v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12827.969999999994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1219.2399999999998</v>
      </c>
      <c r="O33" s="10">
        <f t="shared" si="7"/>
        <v>1800</v>
      </c>
      <c r="P33" s="10">
        <f t="shared" si="7"/>
        <v>50.820000000000164</v>
      </c>
      <c r="Q33" s="10">
        <f t="shared" si="7"/>
        <v>380.78999999999724</v>
      </c>
      <c r="R33" s="10">
        <f t="shared" si="7"/>
        <v>2350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219.67000000000007</v>
      </c>
      <c r="Y33" s="10">
        <f t="shared" si="7"/>
        <v>0</v>
      </c>
      <c r="Z33" s="10">
        <f t="shared" si="7"/>
        <v>294.43000000000029</v>
      </c>
      <c r="AA33" s="10">
        <f t="shared" si="6"/>
        <v>12827.969999999994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I17" zoomScaleNormal="100" workbookViewId="0">
      <selection activeCell="Q30" sqref="Q3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v>-544.65</v>
      </c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2580.96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>
        <f>606-13.14</f>
        <v>592.86</v>
      </c>
      <c r="R26" s="14">
        <v>150</v>
      </c>
      <c r="S26" s="14"/>
      <c r="T26" s="14"/>
      <c r="U26" s="14"/>
      <c r="V26" s="14"/>
      <c r="W26" s="14"/>
      <c r="X26" s="14"/>
      <c r="Y26" s="14"/>
      <c r="Z26" s="14"/>
      <c r="AA26" s="14">
        <f t="shared" si="0"/>
        <v>742.86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>
        <f>759-12.98</f>
        <v>746.02</v>
      </c>
      <c r="R27" s="14"/>
      <c r="S27" s="14"/>
      <c r="T27" s="14"/>
      <c r="U27" s="14"/>
      <c r="V27" s="14"/>
      <c r="W27" s="14"/>
      <c r="X27" s="14">
        <f>1810-29.67</f>
        <v>1780.33</v>
      </c>
      <c r="Y27" s="14"/>
      <c r="Z27" s="14"/>
      <c r="AA27" s="14">
        <f t="shared" si="0"/>
        <v>2526.35</v>
      </c>
      <c r="AB27" s="14" t="s">
        <v>69</v>
      </c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>
        <f>662-10.86</f>
        <v>651.14</v>
      </c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651.14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>
        <f>444-6.38+248-4.07</f>
        <v>681.55</v>
      </c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681.55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>
        <f>671.07-12.2+545-8.94</f>
        <v>1194.9299999999998</v>
      </c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1194.9299999999998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8780.76</v>
      </c>
      <c r="O33" s="10">
        <f t="shared" si="1"/>
        <v>0</v>
      </c>
      <c r="P33" s="10">
        <f t="shared" si="1"/>
        <v>2449.1799999999998</v>
      </c>
      <c r="Q33" s="10">
        <f t="shared" si="1"/>
        <v>19619.210000000003</v>
      </c>
      <c r="R33" s="10">
        <f t="shared" si="1"/>
        <v>150</v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>
        <f t="shared" si="1"/>
        <v>1780.33</v>
      </c>
      <c r="Y33" s="10">
        <f t="shared" si="1"/>
        <v>500</v>
      </c>
      <c r="Z33" s="10">
        <f t="shared" si="1"/>
        <v>4705.57</v>
      </c>
      <c r="AA33" s="10">
        <f t="shared" si="1"/>
        <v>157822.02999999997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2026-05-30T10:13:59Z</dcterms:modified>
  <dc:language>en-US</dc:language>
</cp:coreProperties>
</file>