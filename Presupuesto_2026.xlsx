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22D91565-B68E-4E60-8334-449C91DE3F68}" xr6:coauthVersionLast="47" xr6:coauthVersionMax="47" xr10:uidLastSave="{00000000-0000-0000-0000-000000000000}"/>
  <bookViews>
    <workbookView xWindow="-120" yWindow="-120" windowWidth="20730" windowHeight="11040" tabRatio="500" activeTab="2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J4" i="1" l="1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33" i="5" s="1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3" i="4" s="1"/>
  <c r="AB32" i="3"/>
  <c r="AA32" i="3"/>
  <c r="Z32" i="3"/>
  <c r="Y32" i="3"/>
  <c r="X32" i="3"/>
  <c r="W32" i="3"/>
  <c r="V32" i="3"/>
  <c r="U32" i="3"/>
  <c r="T32" i="3"/>
  <c r="S32" i="3"/>
  <c r="Q32" i="3"/>
  <c r="P32" i="3"/>
  <c r="P26" i="1" s="1"/>
  <c r="O32" i="3"/>
  <c r="N32" i="3"/>
  <c r="M32" i="3"/>
  <c r="J32" i="3"/>
  <c r="J26" i="1" s="1"/>
  <c r="I32" i="3"/>
  <c r="G32" i="3"/>
  <c r="F32" i="3"/>
  <c r="E32" i="3"/>
  <c r="D32" i="3"/>
  <c r="C32" i="3"/>
  <c r="B32" i="3"/>
  <c r="AC31" i="3"/>
  <c r="AC30" i="3"/>
  <c r="AC29" i="3"/>
  <c r="AC28" i="3"/>
  <c r="AC27" i="3"/>
  <c r="AC26" i="3"/>
  <c r="AC25" i="3"/>
  <c r="AC24" i="3"/>
  <c r="AC23" i="3"/>
  <c r="AC22" i="3"/>
  <c r="AC21" i="3"/>
  <c r="AC20" i="3"/>
  <c r="AC19" i="3"/>
  <c r="AC18" i="3"/>
  <c r="AC17" i="3"/>
  <c r="AC16" i="3"/>
  <c r="AC15" i="3"/>
  <c r="AC14" i="3"/>
  <c r="AC13" i="3"/>
  <c r="AC12" i="3"/>
  <c r="AC11" i="3"/>
  <c r="L10" i="3"/>
  <c r="AC10" i="3" s="1"/>
  <c r="K9" i="3"/>
  <c r="AC9" i="3" s="1"/>
  <c r="AC8" i="3"/>
  <c r="R8" i="3"/>
  <c r="AC7" i="3"/>
  <c r="AC6" i="3"/>
  <c r="AA6" i="3"/>
  <c r="R6" i="3"/>
  <c r="AA5" i="3"/>
  <c r="R5" i="3"/>
  <c r="AC5" i="3" s="1"/>
  <c r="AC4" i="3"/>
  <c r="R4" i="3"/>
  <c r="R3" i="3"/>
  <c r="R32" i="3" s="1"/>
  <c r="I3" i="3"/>
  <c r="H3" i="3"/>
  <c r="H32" i="3" s="1"/>
  <c r="AC2" i="3"/>
  <c r="AA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C32" i="1" s="1"/>
  <c r="AC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C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C29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C28" i="1" s="1"/>
  <c r="AC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AA26" i="1"/>
  <c r="Z26" i="1"/>
  <c r="Y26" i="1"/>
  <c r="X26" i="1"/>
  <c r="W26" i="1"/>
  <c r="V26" i="1"/>
  <c r="U26" i="1"/>
  <c r="T26" i="1"/>
  <c r="S26" i="1"/>
  <c r="Q26" i="1"/>
  <c r="O26" i="1"/>
  <c r="N26" i="1"/>
  <c r="M26" i="1"/>
  <c r="I26" i="1"/>
  <c r="G26" i="1"/>
  <c r="F26" i="1"/>
  <c r="E26" i="1"/>
  <c r="D26" i="1"/>
  <c r="C26" i="1"/>
  <c r="B26" i="1"/>
  <c r="Z25" i="1"/>
  <c r="Z33" i="1" s="1"/>
  <c r="X25" i="1"/>
  <c r="X33" i="1" s="1"/>
  <c r="W25" i="1"/>
  <c r="W33" i="1" s="1"/>
  <c r="V25" i="1"/>
  <c r="V33" i="1" s="1"/>
  <c r="T25" i="1"/>
  <c r="T33" i="1" s="1"/>
  <c r="S25" i="1"/>
  <c r="S33" i="1" s="1"/>
  <c r="P25" i="1"/>
  <c r="N25" i="1"/>
  <c r="N33" i="1" s="1"/>
  <c r="M25" i="1"/>
  <c r="M33" i="1" s="1"/>
  <c r="L25" i="1"/>
  <c r="K25" i="1"/>
  <c r="J25" i="1"/>
  <c r="I25" i="1"/>
  <c r="I33" i="1" s="1"/>
  <c r="G25" i="1"/>
  <c r="G33" i="1" s="1"/>
  <c r="F25" i="1"/>
  <c r="F33" i="1" s="1"/>
  <c r="E25" i="1"/>
  <c r="E33" i="1" s="1"/>
  <c r="D25" i="1"/>
  <c r="D33" i="1" s="1"/>
  <c r="C25" i="1"/>
  <c r="C33" i="1" s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C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C15" i="1"/>
  <c r="AA15" i="1"/>
  <c r="Z15" i="1"/>
  <c r="Y15" i="1"/>
  <c r="X15" i="1"/>
  <c r="W15" i="1"/>
  <c r="V15" i="1"/>
  <c r="U15" i="1"/>
  <c r="T15" i="1"/>
  <c r="S15" i="1"/>
  <c r="Q15" i="1"/>
  <c r="P15" i="1"/>
  <c r="O15" i="1"/>
  <c r="N15" i="1"/>
  <c r="M15" i="1"/>
  <c r="I15" i="1"/>
  <c r="G15" i="1"/>
  <c r="F15" i="1"/>
  <c r="E15" i="1"/>
  <c r="D15" i="1"/>
  <c r="C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K10" i="1"/>
  <c r="AC10" i="1" s="1"/>
  <c r="AH9" i="1"/>
  <c r="AJ9" i="1" s="1"/>
  <c r="AD9" i="1"/>
  <c r="AF9" i="1" s="1"/>
  <c r="AC9" i="1"/>
  <c r="AI9" i="1" s="1"/>
  <c r="K9" i="1"/>
  <c r="AD8" i="1"/>
  <c r="AF8" i="1" s="1"/>
  <c r="K8" i="1"/>
  <c r="AC8" i="1" s="1"/>
  <c r="AD7" i="1"/>
  <c r="AF7" i="1" s="1"/>
  <c r="K7" i="1"/>
  <c r="AC7" i="1" s="1"/>
  <c r="AD6" i="1"/>
  <c r="AF6" i="1" s="1"/>
  <c r="K6" i="1"/>
  <c r="AC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J15" i="1" l="1"/>
  <c r="J33" i="1"/>
  <c r="P33" i="1"/>
  <c r="AH10" i="1"/>
  <c r="AI10" i="1"/>
  <c r="Q14" i="1"/>
  <c r="Q25" i="1"/>
  <c r="Q33" i="1" s="1"/>
  <c r="AI6" i="1"/>
  <c r="AH6" i="1"/>
  <c r="AJ6" i="1" s="1"/>
  <c r="H26" i="1"/>
  <c r="H15" i="1"/>
  <c r="AA14" i="1"/>
  <c r="AA25" i="1"/>
  <c r="AA33" i="1" s="1"/>
  <c r="R26" i="1"/>
  <c r="R15" i="1"/>
  <c r="O14" i="1"/>
  <c r="O25" i="1"/>
  <c r="O33" i="1" s="1"/>
  <c r="AH8" i="1"/>
  <c r="AI8" i="1"/>
  <c r="AI7" i="1"/>
  <c r="AH7" i="1"/>
  <c r="AJ7" i="1" s="1"/>
  <c r="H25" i="1"/>
  <c r="H33" i="1" s="1"/>
  <c r="H14" i="1"/>
  <c r="Y25" i="1"/>
  <c r="Y33" i="1" s="1"/>
  <c r="Y14" i="1"/>
  <c r="R25" i="1"/>
  <c r="R33" i="1" s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C3" i="3"/>
  <c r="AC32" i="3" s="1"/>
  <c r="AC14" i="2"/>
  <c r="AH4" i="1"/>
  <c r="M38" i="1"/>
  <c r="N38" i="1"/>
  <c r="AC7" i="2"/>
  <c r="AC33" i="2" s="1"/>
  <c r="L39" i="1"/>
  <c r="L26" i="1" l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<sst xmlns="http://schemas.openxmlformats.org/spreadsheetml/2006/main" count="399" uniqueCount="76">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</sst>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charset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charset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opLeftCell="J1" zoomScaleNormal="100" workbookViewId="0">
      <selection activeCell="R15" sqref="R15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15500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166400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75200</v>
      </c>
      <c r="AI4" s="9">
        <f t="shared" si="4"/>
        <v>67700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15500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:K10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137219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61109.5</v>
      </c>
      <c r="AI5" s="9">
        <f t="shared" si="4"/>
        <v>53109.5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15500</v>
      </c>
      <c r="E6" s="1">
        <v>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f t="shared" si="6"/>
        <v>17700</v>
      </c>
      <c r="L6" s="1">
        <v>7500</v>
      </c>
      <c r="M6" s="1">
        <v>7500</v>
      </c>
      <c r="N6" s="1">
        <v>850</v>
      </c>
      <c r="O6" s="1">
        <v>4400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AA6" s="1">
        <v>5000</v>
      </c>
      <c r="AB6" s="6"/>
      <c r="AC6" s="1">
        <f t="shared" si="0"/>
        <v>131350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58175</v>
      </c>
      <c r="AI6" s="9">
        <f t="shared" si="4"/>
        <v>50175</v>
      </c>
      <c r="AJ6" s="10">
        <f t="shared" si="5"/>
        <v>108350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15500</v>
      </c>
      <c r="E7" s="1">
        <v>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f t="shared" si="6"/>
        <v>17700</v>
      </c>
      <c r="L7" s="1">
        <v>7500</v>
      </c>
      <c r="M7" s="1">
        <v>7500</v>
      </c>
      <c r="N7" s="1">
        <v>850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W7" s="1">
        <v>3000</v>
      </c>
      <c r="X7" s="1">
        <v>1500</v>
      </c>
      <c r="Y7" s="1">
        <v>2000</v>
      </c>
      <c r="Z7" s="1">
        <v>1350</v>
      </c>
      <c r="AA7" s="1">
        <v>5000</v>
      </c>
      <c r="AB7" s="6"/>
      <c r="AC7" s="1">
        <f t="shared" si="0"/>
        <v>162069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73534.5</v>
      </c>
      <c r="AI7" s="9">
        <f t="shared" si="4"/>
        <v>65534.5</v>
      </c>
      <c r="AJ7" s="10">
        <f t="shared" si="5"/>
        <v>139069</v>
      </c>
    </row>
    <row r="8" spans="1:36" ht="15" customHeight="1" x14ac:dyDescent="0.25">
      <c r="A8" s="1" t="s">
        <v>42</v>
      </c>
      <c r="D8" s="1">
        <v>15500</v>
      </c>
      <c r="E8" s="1">
        <v>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f t="shared" si="6"/>
        <v>17700</v>
      </c>
      <c r="L8" s="1">
        <v>7500</v>
      </c>
      <c r="M8" s="1">
        <v>7500</v>
      </c>
      <c r="N8" s="1">
        <v>850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U8" s="1">
        <v>12000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146650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65825</v>
      </c>
      <c r="AI8" s="9">
        <f t="shared" si="4"/>
        <v>57825</v>
      </c>
      <c r="AJ8" s="10">
        <f t="shared" si="5"/>
        <v>123650</v>
      </c>
    </row>
    <row r="9" spans="1:36" ht="15" customHeight="1" x14ac:dyDescent="0.25">
      <c r="A9" s="1" t="s">
        <v>43</v>
      </c>
      <c r="C9" s="1">
        <v>4369</v>
      </c>
      <c r="D9" s="1">
        <v>15500</v>
      </c>
      <c r="E9" s="1">
        <v>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f t="shared" si="6"/>
        <v>17700</v>
      </c>
      <c r="L9" s="1">
        <v>7500</v>
      </c>
      <c r="M9" s="1">
        <v>7500</v>
      </c>
      <c r="N9" s="1">
        <v>850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137519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61259.5</v>
      </c>
      <c r="AI9" s="9">
        <f t="shared" si="4"/>
        <v>53259.5</v>
      </c>
      <c r="AJ9" s="10">
        <f t="shared" si="5"/>
        <v>114519</v>
      </c>
    </row>
    <row r="10" spans="1:36" ht="15" customHeight="1" x14ac:dyDescent="0.25">
      <c r="A10" s="1" t="s">
        <v>44</v>
      </c>
      <c r="D10" s="1">
        <v>15500</v>
      </c>
      <c r="E10" s="1">
        <v>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f t="shared" si="6"/>
        <v>17700</v>
      </c>
      <c r="L10" s="1">
        <v>7500</v>
      </c>
      <c r="M10" s="1">
        <v>7500</v>
      </c>
      <c r="N10" s="1">
        <v>850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153400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69200</v>
      </c>
      <c r="AI10" s="9">
        <f t="shared" si="4"/>
        <v>61200</v>
      </c>
      <c r="AJ10" s="10">
        <f t="shared" si="5"/>
        <v>130400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 t="str">
        <f>IF(Junio!D32&gt;0,Junio!D32,"")</f>
        <v/>
      </c>
      <c r="E15" s="1">
        <f>IF(Junio!E32&gt;0,Junio!E32,"")</f>
        <v>10990.82</v>
      </c>
      <c r="F15" s="1">
        <f>IF(Junio!F32&gt;0,Junio!F32,"")</f>
        <v>17944</v>
      </c>
      <c r="G15" s="1" t="str">
        <f>IF(Junio!G32&gt;0,Junio!G32,"")</f>
        <v/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 t="str">
        <f>IF(Junio!M32&gt;0,Junio!M32,"")</f>
        <v/>
      </c>
      <c r="N15" s="1">
        <f>IF(Junio!N32&gt;0,Junio!N32,"")</f>
        <v>810</v>
      </c>
      <c r="O15" s="1" t="str">
        <f>IF(Junio!O32&gt;0,Junio!O32,"")</f>
        <v/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11114.54</v>
      </c>
      <c r="S15" s="1" t="str">
        <f>IF(Junio!S32&gt;0,Junio!S32,"")</f>
        <v/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 t="str">
        <f>IF(Junio!X32&gt;0,Junio!X32,"")</f>
        <v/>
      </c>
      <c r="Y15" s="1" t="str">
        <f>IF(Junio!Y32&gt;0,Junio!Y32,"")</f>
        <v/>
      </c>
      <c r="Z15" s="1" t="str">
        <f>IF(Junio!Z32&gt;0,Junio!Z32,"")</f>
        <v/>
      </c>
      <c r="AA15" s="1">
        <f>IF(Junio!AA32&gt;0,Junio!AA32,"")</f>
        <v>4925.57</v>
      </c>
      <c r="AC15" s="1" t="str">
        <f>IF(Junio!AB32&gt;0,Junio!AB32,"")</f>
        <v/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 t="str">
        <f>IF(ISNUMBER(Junio!D32),D4-Junio!D32,"")</f>
        <v/>
      </c>
      <c r="E26" s="1">
        <f>IF(ISNUMBER(Junio!E32),E4-Junio!E32,"")</f>
        <v>-390.81999999999971</v>
      </c>
      <c r="F26" s="1">
        <f>IF(ISNUMBER(Junio!F32),F4-Junio!F32,"")</f>
        <v>17556</v>
      </c>
      <c r="G26" s="1" t="str">
        <f>IF(ISNUMBER(Junio!G32),G4-Junio!G32,"")</f>
        <v/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 t="str">
        <f>IF(ISNUMBER(Junio!M32),M4-Junio!M32,"")</f>
        <v/>
      </c>
      <c r="N26" s="1">
        <f>IF(ISNUMBER(Junio!N32),N4-Junio!N32,"")</f>
        <v>40</v>
      </c>
      <c r="O26" s="1" t="str">
        <f>IF(ISNUMBER(Junio!O32),O4-Junio!O32,"")</f>
        <v/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8885.4599999999991</v>
      </c>
      <c r="S26" s="1" t="str">
        <f>IF(ISNUMBER(Junio!S32),S4-Junio!S32,"")</f>
        <v/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 t="str">
        <f>IF(ISNUMBER(Junio!X32),X4-Junio!X32,"")</f>
        <v/>
      </c>
      <c r="Y26" s="1" t="str">
        <f>IF(ISNUMBER(Junio!Y32),Y4-Junio!Y32,"")</f>
        <v/>
      </c>
      <c r="Z26" s="1" t="str">
        <f>IF(ISNUMBER(Junio!Z32),Z4-Junio!Z32,"")</f>
        <v/>
      </c>
      <c r="AA26" s="1">
        <f>IF(ISNUMBER(Junio!AA32),AA4-Junio!AA32,"")</f>
        <v>74.430000000000291</v>
      </c>
      <c r="AC26" s="12">
        <f t="shared" si="7"/>
        <v>26854.78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C28" s="12">
        <f t="shared" si="7"/>
        <v>0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47.229999999999563</v>
      </c>
      <c r="E33" s="12">
        <f t="shared" si="8"/>
        <v>-360.81999999999971</v>
      </c>
      <c r="F33" s="12">
        <f t="shared" si="8"/>
        <v>17602</v>
      </c>
      <c r="G33" s="12">
        <f t="shared" si="8"/>
        <v>20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13.809999999999945</v>
      </c>
      <c r="L33" s="12">
        <f t="shared" si="8"/>
        <v>327.09999999999673</v>
      </c>
      <c r="M33" s="12">
        <f t="shared" si="8"/>
        <v>72.319999999999709</v>
      </c>
      <c r="N33" s="12">
        <f t="shared" si="8"/>
        <v>80</v>
      </c>
      <c r="O33" s="12">
        <f t="shared" si="8"/>
        <v>1219.2399999999998</v>
      </c>
      <c r="P33" s="12">
        <f t="shared" si="8"/>
        <v>1800</v>
      </c>
      <c r="Q33" s="12">
        <f t="shared" si="8"/>
        <v>50.820000000000164</v>
      </c>
      <c r="R33" s="12">
        <f t="shared" si="8"/>
        <v>9266.2499999999964</v>
      </c>
      <c r="S33" s="12">
        <f t="shared" si="8"/>
        <v>1689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790.91000000000008</v>
      </c>
      <c r="Y33" s="12">
        <f t="shared" si="8"/>
        <v>219.67000000000007</v>
      </c>
      <c r="Z33" s="12">
        <f t="shared" si="8"/>
        <v>0</v>
      </c>
      <c r="AA33" s="12">
        <f t="shared" si="8"/>
        <v>368.86000000000058</v>
      </c>
      <c r="AC33" s="12">
        <f t="shared" si="7"/>
        <v>39021.75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zoomScaleNormal="100" workbookViewId="0">
      <selection activeCell="C12" sqref="C1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32"/>
  <sheetViews>
    <sheetView tabSelected="1" topLeftCell="M1" zoomScaleNormal="100" workbookViewId="0">
      <selection activeCell="O8" sqref="O8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6" width="21.42578125" customWidth="1"/>
    <col min="27" max="27" width="13" customWidth="1"/>
    <col min="28" max="28" width="14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>
        <f>208-3.41</f>
        <v>204.59</v>
      </c>
      <c r="AB2" s="36"/>
      <c r="AC2" s="35">
        <f t="shared" ref="AC2:AC31" si="0">SUM(B2:AA2)</f>
        <v>6638.9299999999994</v>
      </c>
      <c r="AD2" s="35" t="s">
        <v>72</v>
      </c>
    </row>
    <row r="3" spans="1:30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17515.509999999998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628.97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>
        <f>980+500+256-8.2-4.2</f>
        <v>1723.6</v>
      </c>
      <c r="AB5" s="36"/>
      <c r="AC5" s="35">
        <f t="shared" si="0"/>
        <v>2121.42</v>
      </c>
      <c r="AD5" s="35" t="s">
        <v>73</v>
      </c>
    </row>
    <row r="6" spans="1:30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>
        <f>99-1.62</f>
        <v>97.38</v>
      </c>
      <c r="AB6" s="36"/>
      <c r="AC6" s="35">
        <f t="shared" si="0"/>
        <v>19998.63</v>
      </c>
      <c r="AD6" s="35" t="s">
        <v>74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1304.6799999999998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>
        <v>2900</v>
      </c>
      <c r="AB9" s="36"/>
      <c r="AC9" s="35">
        <f t="shared" si="0"/>
        <v>4186.1900000000005</v>
      </c>
      <c r="AD9" s="35" t="s">
        <v>75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9690.8900000000012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3610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>
        <f t="shared" si="1"/>
        <v>10990.82</v>
      </c>
      <c r="F32" s="12">
        <f t="shared" si="1"/>
        <v>17944</v>
      </c>
      <c r="G32" s="12" t="str">
        <f t="shared" si="1"/>
        <v/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 t="str">
        <f t="shared" si="1"/>
        <v/>
      </c>
      <c r="N32" s="12">
        <f t="shared" si="1"/>
        <v>810</v>
      </c>
      <c r="O32" s="12" t="str">
        <f t="shared" si="1"/>
        <v/>
      </c>
      <c r="P32" s="12">
        <f t="shared" si="1"/>
        <v>1800</v>
      </c>
      <c r="Q32" s="12" t="str">
        <f t="shared" si="1"/>
        <v/>
      </c>
      <c r="R32" s="12">
        <f t="shared" si="1"/>
        <v>11114.54</v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>
        <f t="shared" si="1"/>
        <v>4925.57</v>
      </c>
      <c r="AB32" s="38" t="str">
        <f t="shared" si="1"/>
        <v/>
      </c>
      <c r="AC32" s="12">
        <f t="shared" si="1"/>
        <v>65695.22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topLeftCell="A22" zoomScaleNormal="100" workbookViewId="0">
      <selection activeCell="H33" sqref="H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2026-06-10T12:21:31Z</dcterms:modified>
  <dc:language>en-US</dc:language>
</cp:coreProperties>
</file>