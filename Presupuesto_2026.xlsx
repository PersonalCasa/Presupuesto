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ACC81601-4A60-4670-8C3B-04F08BB15D74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W8" i="2" l="1"/>
  <c r="AA8" i="2" s="1"/>
  <c r="Q8" i="2"/>
  <c r="C53" i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10" i="1"/>
  <c r="AA9" i="1"/>
  <c r="AA8" i="1"/>
  <c r="AA7" i="1"/>
  <c r="AA6" i="1"/>
  <c r="AA5" i="1"/>
  <c r="AA4" i="1"/>
  <c r="AA3" i="1"/>
  <c r="AF3" i="1" s="1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7" i="2"/>
  <c r="AA6" i="2"/>
  <c r="AA5" i="2"/>
  <c r="AA4" i="2"/>
  <c r="AA3" i="2"/>
  <c r="AA2" i="2"/>
  <c r="AA32" i="1" l="1"/>
  <c r="AA31" i="1"/>
  <c r="AA26" i="1"/>
  <c r="C54" i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T14" i="1"/>
  <c r="T25" i="1"/>
  <c r="T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B4" i="1"/>
  <c r="AD4" i="1" s="1"/>
  <c r="AG3" i="1"/>
  <c r="AB3" i="1"/>
  <c r="AD3" i="1" s="1"/>
  <c r="D25" i="1"/>
  <c r="D33" i="1" s="1"/>
  <c r="D14" i="1"/>
  <c r="C14" i="1"/>
  <c r="C25" i="1"/>
  <c r="C33" i="1" s="1"/>
  <c r="B25" i="1"/>
  <c r="B14" i="1"/>
  <c r="AH4" i="1" l="1"/>
  <c r="AH7" i="1"/>
  <c r="E33" i="1"/>
  <c r="B33" i="1"/>
  <c r="AA25" i="1"/>
  <c r="AH10" i="1"/>
  <c r="AH3" i="1"/>
  <c r="AH9" i="1"/>
  <c r="AA33" i="1" l="1"/>
</calcChain>
</file>

<file path=xl/sharedStrings.xml><?xml version="1.0" encoding="utf-8"?>
<sst xmlns="http://schemas.openxmlformats.org/spreadsheetml/2006/main" count="370" uniqueCount="63">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</sst>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charset val="1"/>
    </font>
    <font>
      <b/>
      <sz val="11"/>
      <color rgb="FFAD1457"/>
      <name val="Cambria"/>
      <charset val="1"/>
    </font>
    <font>
      <b/>
      <sz val="11"/>
      <color rgb="FF1565C0"/>
      <name val="Cambria"/>
      <charset val="1"/>
    </font>
    <font>
      <b/>
      <sz val="11"/>
      <color rgb="FF2E7D32"/>
      <name val="Cambria"/>
      <charset val="1"/>
    </font>
    <font>
      <b/>
      <sz val="11"/>
      <color rgb="FFFFFFFF"/>
      <name val="Cambria"/>
      <charset val="1"/>
    </font>
    <font>
      <b/>
      <sz val="12"/>
      <name val="Cambria"/>
      <charset val="1"/>
    </font>
    <font>
      <b/>
      <sz val="11"/>
      <color rgb="FF0284C7"/>
      <name val="Cambria"/>
      <charset val="1"/>
    </font>
    <font>
      <i/>
      <sz val="11"/>
      <color rgb="FF555555"/>
      <name val="Cambria"/>
      <charset val="1"/>
    </font>
    <font>
      <b/>
      <sz val="11"/>
      <color rgb="FFC62828"/>
      <name val="Cambria"/>
      <charset val="1"/>
    </font>
    <font>
      <b/>
      <sz val="11"/>
      <color rgb="FF1B5E20"/>
      <name val="Cambria"/>
      <charset val="1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topLeftCell="M1" zoomScaleNormal="100" workbookViewId="0">
      <selection activeCell="U15" sqref="U15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3" style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10000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V3" s="1">
        <v>3000</v>
      </c>
      <c r="W3" s="1">
        <v>1500</v>
      </c>
      <c r="X3" s="1">
        <v>2000</v>
      </c>
      <c r="Y3" s="1">
        <v>750</v>
      </c>
      <c r="Z3" s="1">
        <v>4000</v>
      </c>
      <c r="AA3" s="1">
        <f t="shared" ref="AA3:AA10" si="0">SUM(B3:Z3)</f>
        <v>142700</v>
      </c>
      <c r="AB3" s="5">
        <f t="shared" ref="AB3:AB10" si="1">+AA3/2</f>
        <v>71350</v>
      </c>
      <c r="AC3" s="1">
        <v>10000</v>
      </c>
      <c r="AD3" s="5">
        <f t="shared" ref="AD3:AD10" si="2">+AE3-AB3-AC3</f>
        <v>13650</v>
      </c>
      <c r="AE3" s="1">
        <v>95000</v>
      </c>
      <c r="AF3" s="6">
        <f>AA3/2-L3</f>
        <v>61350</v>
      </c>
      <c r="AG3" s="7">
        <f t="shared" ref="AG3:AG10" si="3">AA3/2-D3</f>
        <v>55850</v>
      </c>
      <c r="AH3" s="8">
        <f t="shared" ref="AH3:AH10" si="4">AF3+AG3</f>
        <v>117200</v>
      </c>
    </row>
    <row r="4" spans="1:34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7500</v>
      </c>
      <c r="L4" s="1">
        <v>7500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T4" s="1">
        <v>9000</v>
      </c>
      <c r="V4" s="1">
        <v>3000</v>
      </c>
      <c r="W4" s="1">
        <v>1500</v>
      </c>
      <c r="X4" s="1">
        <v>2000</v>
      </c>
      <c r="Y4" s="1">
        <v>750</v>
      </c>
      <c r="Z4" s="1">
        <v>4000</v>
      </c>
      <c r="AA4" s="1">
        <f t="shared" si="0"/>
        <v>148000</v>
      </c>
      <c r="AB4" s="5">
        <f t="shared" si="1"/>
        <v>74000</v>
      </c>
      <c r="AC4" s="1">
        <v>10000</v>
      </c>
      <c r="AD4" s="5">
        <f t="shared" si="2"/>
        <v>11000</v>
      </c>
      <c r="AE4" s="1">
        <v>95000</v>
      </c>
      <c r="AF4" s="6">
        <f t="shared" ref="AF4:AF10" si="5">AA4/2-L4</f>
        <v>66500</v>
      </c>
      <c r="AG4" s="7">
        <f t="shared" si="3"/>
        <v>58500</v>
      </c>
      <c r="AH4" s="8">
        <f t="shared" si="4"/>
        <v>125000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10600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Y5" s="1">
        <v>750</v>
      </c>
      <c r="Z5" s="1">
        <v>4000</v>
      </c>
      <c r="AA5" s="1">
        <f t="shared" si="0"/>
        <v>134619</v>
      </c>
      <c r="AB5" s="5">
        <f t="shared" si="1"/>
        <v>67309.5</v>
      </c>
      <c r="AC5" s="1">
        <v>10000</v>
      </c>
      <c r="AD5" s="5">
        <f t="shared" si="2"/>
        <v>17690.5</v>
      </c>
      <c r="AE5" s="1">
        <v>95000</v>
      </c>
      <c r="AF5" s="6">
        <f t="shared" si="5"/>
        <v>59809.5</v>
      </c>
      <c r="AG5" s="7">
        <f t="shared" si="3"/>
        <v>51809.5</v>
      </c>
      <c r="AH5" s="8">
        <f t="shared" si="4"/>
        <v>111619</v>
      </c>
    </row>
    <row r="6" spans="1:34" ht="15" customHeight="1" x14ac:dyDescent="0.25">
      <c r="A6" s="1" t="s">
        <v>38</v>
      </c>
      <c r="D6" s="1">
        <v>15500</v>
      </c>
      <c r="E6" s="1">
        <v>10600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Y6" s="1">
        <v>750</v>
      </c>
      <c r="Z6" s="1">
        <v>4000</v>
      </c>
      <c r="AA6" s="1">
        <f t="shared" si="0"/>
        <v>128750</v>
      </c>
      <c r="AB6" s="5">
        <f t="shared" si="1"/>
        <v>64375</v>
      </c>
      <c r="AC6" s="1">
        <v>10000</v>
      </c>
      <c r="AD6" s="5">
        <f t="shared" si="2"/>
        <v>20625</v>
      </c>
      <c r="AE6" s="1">
        <v>95000</v>
      </c>
      <c r="AF6" s="6">
        <f t="shared" si="5"/>
        <v>56875</v>
      </c>
      <c r="AG6" s="7">
        <f t="shared" si="3"/>
        <v>48875</v>
      </c>
      <c r="AH6" s="8">
        <f t="shared" si="4"/>
        <v>105750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10600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750</v>
      </c>
      <c r="Z7" s="1">
        <v>4000</v>
      </c>
      <c r="AA7" s="1">
        <f t="shared" si="0"/>
        <v>158119</v>
      </c>
      <c r="AB7" s="5">
        <f t="shared" si="1"/>
        <v>79059.5</v>
      </c>
      <c r="AC7" s="1">
        <v>10000</v>
      </c>
      <c r="AD7" s="5">
        <f t="shared" si="2"/>
        <v>5940.5</v>
      </c>
      <c r="AE7" s="1">
        <v>95000</v>
      </c>
      <c r="AF7" s="6">
        <f t="shared" si="5"/>
        <v>71559.5</v>
      </c>
      <c r="AG7" s="7">
        <f t="shared" si="3"/>
        <v>63559.5</v>
      </c>
      <c r="AH7" s="8">
        <f t="shared" si="4"/>
        <v>135119</v>
      </c>
    </row>
    <row r="8" spans="1:34" ht="15" customHeight="1" x14ac:dyDescent="0.25">
      <c r="A8" s="1" t="s">
        <v>40</v>
      </c>
      <c r="D8" s="1">
        <v>15500</v>
      </c>
      <c r="E8" s="1">
        <v>10600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U8" s="1">
        <v>1500</v>
      </c>
      <c r="V8" s="1">
        <v>3000</v>
      </c>
      <c r="W8" s="1">
        <v>1500</v>
      </c>
      <c r="X8" s="1">
        <v>2000</v>
      </c>
      <c r="Y8" s="1">
        <v>750</v>
      </c>
      <c r="Z8" s="1">
        <v>4000</v>
      </c>
      <c r="AA8" s="1">
        <f t="shared" si="0"/>
        <v>132050</v>
      </c>
      <c r="AB8" s="5">
        <f t="shared" si="1"/>
        <v>66025</v>
      </c>
      <c r="AC8" s="1">
        <v>10000</v>
      </c>
      <c r="AD8" s="5">
        <f t="shared" si="2"/>
        <v>18975</v>
      </c>
      <c r="AE8" s="1">
        <v>95000</v>
      </c>
      <c r="AF8" s="6">
        <f t="shared" si="5"/>
        <v>58525</v>
      </c>
      <c r="AG8" s="7">
        <f t="shared" si="3"/>
        <v>50525</v>
      </c>
      <c r="AH8" s="8">
        <f t="shared" si="4"/>
        <v>109050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10600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T9" s="1">
        <v>12000</v>
      </c>
      <c r="V9" s="1">
        <v>3000</v>
      </c>
      <c r="W9" s="1">
        <v>1500</v>
      </c>
      <c r="X9" s="1">
        <v>2000</v>
      </c>
      <c r="Y9" s="1">
        <v>750</v>
      </c>
      <c r="Z9" s="1">
        <v>4000</v>
      </c>
      <c r="AA9" s="1">
        <f t="shared" si="0"/>
        <v>146919</v>
      </c>
      <c r="AB9" s="5">
        <f t="shared" si="1"/>
        <v>73459.5</v>
      </c>
      <c r="AC9" s="1">
        <v>10000</v>
      </c>
      <c r="AD9" s="5">
        <f t="shared" si="2"/>
        <v>11540.5</v>
      </c>
      <c r="AE9" s="1">
        <v>95000</v>
      </c>
      <c r="AF9" s="6">
        <f t="shared" si="5"/>
        <v>65959.5</v>
      </c>
      <c r="AG9" s="7">
        <f t="shared" si="3"/>
        <v>57959.5</v>
      </c>
      <c r="AH9" s="8">
        <f t="shared" si="4"/>
        <v>123919</v>
      </c>
    </row>
    <row r="10" spans="1:34" ht="15" customHeight="1" x14ac:dyDescent="0.25">
      <c r="A10" s="1" t="s">
        <v>42</v>
      </c>
      <c r="D10" s="1">
        <v>15500</v>
      </c>
      <c r="E10" s="1">
        <v>10600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750</v>
      </c>
      <c r="Z10" s="1">
        <v>4000</v>
      </c>
      <c r="AA10" s="1">
        <f t="shared" si="0"/>
        <v>149450</v>
      </c>
      <c r="AB10" s="5">
        <f t="shared" si="1"/>
        <v>74725</v>
      </c>
      <c r="AC10" s="1">
        <v>10000</v>
      </c>
      <c r="AD10" s="5">
        <f t="shared" si="2"/>
        <v>10275</v>
      </c>
      <c r="AE10" s="1">
        <v>95000</v>
      </c>
      <c r="AF10" s="6">
        <f t="shared" si="5"/>
        <v>67225</v>
      </c>
      <c r="AG10" s="7">
        <f t="shared" si="3"/>
        <v>59225</v>
      </c>
      <c r="AH10" s="8">
        <f t="shared" si="4"/>
        <v>126450</v>
      </c>
    </row>
    <row r="12" spans="1:34" ht="15" customHeight="1" x14ac:dyDescent="0.25">
      <c r="A12" s="36" t="s">
        <v>43</v>
      </c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25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 t="str">
        <f>IF(Mayo!D33&gt;0,Mayo!D33,"")</f>
        <v/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 t="str">
        <f>IF(Mayo!J33&gt;0,Mayo!J33,"")</f>
        <v/>
      </c>
      <c r="K14" s="1">
        <f>IF(Mayo!K33&gt;0,Mayo!K33,"")</f>
        <v>18082.010000000002</v>
      </c>
      <c r="L14" s="1" t="str">
        <f>IF(Mayo!L33&gt;0,Mayo!L33,"")</f>
        <v/>
      </c>
      <c r="M14" s="1" t="str">
        <f>IF(Mayo!M33&gt;0,Mayo!M33,"")</f>
        <v/>
      </c>
      <c r="N14" s="1" t="str">
        <f>IF(Mayo!N33&gt;0,Mayo!N33,"")</f>
        <v/>
      </c>
      <c r="O14" s="1" t="str">
        <f>IF(Mayo!O33&gt;0,Mayo!O33,"")</f>
        <v/>
      </c>
      <c r="P14" s="1" t="str">
        <f>IF(Mayo!P33&gt;0,Mayo!P33,"")</f>
        <v/>
      </c>
      <c r="Q14" s="1">
        <f>IF(Mayo!Q33&gt;0,Mayo!Q33,"")</f>
        <v>3758.51</v>
      </c>
      <c r="R14" s="1" t="str">
        <f>IF(Mayo!R33&gt;0,Mayo!R33,"")</f>
        <v/>
      </c>
      <c r="S14" s="1" t="str">
        <f>IF(Mayo!S33&gt;0,Mayo!S33,"")</f>
        <v/>
      </c>
      <c r="T14" s="1" t="str">
        <f>IF(Mayo!T33&gt;0,Mayo!T33,"")</f>
        <v/>
      </c>
      <c r="U14" s="1" t="str">
        <f>IF(Mayo!U33&gt;0,Mayo!U33,"")</f>
        <v/>
      </c>
      <c r="V14" s="1" t="str">
        <f>IF(Mayo!V33&gt;0,Mayo!V33,"")</f>
        <v/>
      </c>
      <c r="W14" s="1">
        <f>IF(Mayo!W33&gt;0,Mayo!W33,"")</f>
        <v>494.09</v>
      </c>
      <c r="X14" s="1" t="str">
        <f>IF(Mayo!X33&gt;0,Mayo!X33,"")</f>
        <v/>
      </c>
      <c r="Y14" s="1" t="str">
        <f>IF(Mayo!Y33&gt;0,Mayo!Y33,"")</f>
        <v/>
      </c>
      <c r="Z14" s="1">
        <f>IF(Mayo!Z33&gt;0,Mayo!Z33,"")</f>
        <v>2258.36</v>
      </c>
      <c r="AA14" s="1">
        <f>IF(Mayo!AA33&gt;0,Mayo!AA33,"")</f>
        <v>67632.789999999994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37" t="s">
        <v>46</v>
      </c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25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 t="str">
        <f>IF(ISNUMBER(Mayo!B33),B3-Mayo!B33,"")</f>
        <v/>
      </c>
      <c r="C25" s="1" t="str">
        <f>IF(ISNUMBER(Mayo!C33),C3-Mayo!C33,"")</f>
        <v/>
      </c>
      <c r="D25" s="1" t="str">
        <f>IF(ISNUMBER(Mayo!D33),D3-Mayo!D33,"")</f>
        <v/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 t="str">
        <f>IF(ISNUMBER(Mayo!J33),J3-Mayo!J33,"")</f>
        <v/>
      </c>
      <c r="K25" s="1">
        <f>IF(ISNUMBER(Mayo!K33),K3-Mayo!K33,"")</f>
        <v>17.989999999997963</v>
      </c>
      <c r="L25" s="1" t="str">
        <f>IF(ISNUMBER(Mayo!L33),L3-Mayo!L33,"")</f>
        <v/>
      </c>
      <c r="M25" s="1" t="str">
        <f>IF(ISNUMBER(Mayo!M33),M3-Mayo!M33,"")</f>
        <v/>
      </c>
      <c r="N25" s="1" t="str">
        <f>IF(ISNUMBER(Mayo!N33),N3-Mayo!N33,"")</f>
        <v/>
      </c>
      <c r="O25" s="1" t="str">
        <f>IF(ISNUMBER(Mayo!O33),O3-Mayo!O33,"")</f>
        <v/>
      </c>
      <c r="P25" s="1" t="str">
        <f>IF(ISNUMBER(Mayo!P33),P3-Mayo!P33,"")</f>
        <v/>
      </c>
      <c r="Q25" s="1">
        <f>IF(ISNUMBER(Mayo!Q33),Q3-Mayo!Q33,"")</f>
        <v>16241.49</v>
      </c>
      <c r="R25" s="1" t="str">
        <f>IF(ISNUMBER(Mayo!R33),R3-Mayo!R33,"")</f>
        <v/>
      </c>
      <c r="S25" s="1" t="str">
        <f>IF(ISNUMBER(Mayo!S33),S3-Mayo!S33,"")</f>
        <v/>
      </c>
      <c r="T25" s="1" t="str">
        <f>IF(ISNUMBER(Mayo!T33),T3-Mayo!T33,"")</f>
        <v/>
      </c>
      <c r="U25" s="1" t="str">
        <f>IF(ISNUMBER(Mayo!U33),U3-Mayo!U33,"")</f>
        <v/>
      </c>
      <c r="V25" s="1" t="str">
        <f>IF(ISNUMBER(Mayo!V33),V3-Mayo!V33,"")</f>
        <v/>
      </c>
      <c r="W25" s="1">
        <f>IF(ISNUMBER(Mayo!W33),W3-Mayo!W33,"")</f>
        <v>1005.9100000000001</v>
      </c>
      <c r="X25" s="1" t="str">
        <f>IF(ISNUMBER(Mayo!X33),X3-Mayo!X33,"")</f>
        <v/>
      </c>
      <c r="Y25" s="1" t="str">
        <f>IF(ISNUMBER(Mayo!Y33),Y3-Mayo!Y33,"")</f>
        <v/>
      </c>
      <c r="Z25" s="1">
        <f>IF(ISNUMBER(Mayo!Z33),Z3-Mayo!Z33,"")</f>
        <v>1741.6399999999999</v>
      </c>
      <c r="AA25" s="10">
        <f t="shared" ref="AA25:AA33" si="6">SUMIF(B25:Z25,"&lt;&gt;"&amp;"")</f>
        <v>20167.209999999995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0</v>
      </c>
      <c r="E33" s="10">
        <f t="shared" si="7"/>
        <v>30</v>
      </c>
      <c r="F33" s="10">
        <f t="shared" si="7"/>
        <v>46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0</v>
      </c>
      <c r="K33" s="10">
        <f t="shared" si="7"/>
        <v>17.989999999997963</v>
      </c>
      <c r="L33" s="10">
        <f t="shared" si="7"/>
        <v>0</v>
      </c>
      <c r="M33" s="10">
        <f t="shared" si="7"/>
        <v>0</v>
      </c>
      <c r="N33" s="10">
        <f t="shared" si="7"/>
        <v>0</v>
      </c>
      <c r="O33" s="10">
        <f t="shared" si="7"/>
        <v>0</v>
      </c>
      <c r="P33" s="10">
        <f t="shared" si="7"/>
        <v>0</v>
      </c>
      <c r="Q33" s="10">
        <f t="shared" si="7"/>
        <v>16241.49</v>
      </c>
      <c r="R33" s="10">
        <f t="shared" si="7"/>
        <v>0</v>
      </c>
      <c r="S33" s="10">
        <f t="shared" si="7"/>
        <v>0</v>
      </c>
      <c r="T33" s="10">
        <f t="shared" si="7"/>
        <v>0</v>
      </c>
      <c r="U33" s="10">
        <f t="shared" si="7"/>
        <v>0</v>
      </c>
      <c r="V33" s="10">
        <f t="shared" si="7"/>
        <v>0</v>
      </c>
      <c r="W33" s="10">
        <f t="shared" si="7"/>
        <v>1005.9100000000001</v>
      </c>
      <c r="X33" s="10">
        <f t="shared" si="7"/>
        <v>0</v>
      </c>
      <c r="Y33" s="10">
        <f t="shared" si="7"/>
        <v>0</v>
      </c>
      <c r="Z33" s="10">
        <f t="shared" si="7"/>
        <v>1741.6399999999999</v>
      </c>
      <c r="AA33" s="10">
        <f t="shared" si="6"/>
        <v>20167.209999999995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500000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5" t="s">
        <v>56</v>
      </c>
    </row>
    <row r="42" spans="1:27" x14ac:dyDescent="0.25">
      <c r="A42" s="26" t="s">
        <v>57</v>
      </c>
      <c r="B42" s="26" t="s">
        <v>58</v>
      </c>
      <c r="C42" s="26" t="s">
        <v>59</v>
      </c>
    </row>
    <row r="43" spans="1:27" x14ac:dyDescent="0.25">
      <c r="A43" s="27"/>
      <c r="B43" s="28"/>
      <c r="C43" s="29"/>
    </row>
    <row r="44" spans="1:27" x14ac:dyDescent="0.25">
      <c r="A44" s="27"/>
      <c r="B44" s="28"/>
      <c r="C44" s="29"/>
    </row>
    <row r="45" spans="1:27" x14ac:dyDescent="0.25">
      <c r="A45" s="27"/>
      <c r="B45" s="28"/>
      <c r="C45" s="29"/>
    </row>
    <row r="46" spans="1:27" x14ac:dyDescent="0.25">
      <c r="A46" s="27"/>
      <c r="B46" s="28"/>
      <c r="C46" s="29"/>
    </row>
    <row r="47" spans="1:27" x14ac:dyDescent="0.25">
      <c r="A47" s="27"/>
      <c r="B47" s="28"/>
      <c r="C47" s="29"/>
    </row>
    <row r="48" spans="1:27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tabSelected="1" topLeftCell="T22" zoomScaleNormal="100" workbookViewId="0">
      <selection activeCell="W42" sqref="W4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5.1406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>
        <v>135</v>
      </c>
      <c r="R7" s="14"/>
      <c r="S7" s="14"/>
      <c r="T7" s="14"/>
      <c r="U7" s="14"/>
      <c r="V7" s="14"/>
      <c r="W7" s="14">
        <v>334.65</v>
      </c>
      <c r="X7" s="14"/>
      <c r="Y7" s="14"/>
      <c r="Z7" s="14">
        <v>2258.36</v>
      </c>
      <c r="AA7" s="14">
        <f t="shared" si="0"/>
        <v>44925.840000000004</v>
      </c>
      <c r="AB7" s="14" t="s">
        <v>62</v>
      </c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>
        <f>454-8.26</f>
        <v>445.74</v>
      </c>
      <c r="R8" s="14"/>
      <c r="S8" s="14"/>
      <c r="T8" s="14"/>
      <c r="U8" s="14"/>
      <c r="V8" s="14"/>
      <c r="W8" s="14">
        <f>2.27*40</f>
        <v>90.8</v>
      </c>
      <c r="X8" s="14"/>
      <c r="Y8" s="14"/>
      <c r="Z8" s="14"/>
      <c r="AA8" s="14">
        <f t="shared" si="0"/>
        <v>536.54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 t="str">
        <f t="shared" si="1"/>
        <v/>
      </c>
      <c r="K33" s="10">
        <f t="shared" si="1"/>
        <v>18082.010000000002</v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>
        <f t="shared" si="1"/>
        <v>3758.51</v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>
        <f t="shared" si="1"/>
        <v>494.09</v>
      </c>
      <c r="X33" s="10" t="str">
        <f t="shared" si="1"/>
        <v/>
      </c>
      <c r="Y33" s="10" t="str">
        <f t="shared" si="1"/>
        <v/>
      </c>
      <c r="Z33" s="10">
        <f t="shared" si="1"/>
        <v>2258.36</v>
      </c>
      <c r="AA33" s="10">
        <f t="shared" si="1"/>
        <v>67632.789999999994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2026-05-07T17:12:39Z</dcterms:modified>
  <dc:language>en-US</dc:language>
</cp:coreProperties>
</file>