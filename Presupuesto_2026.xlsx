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firstSheet="1" activeTab="6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0" i="7" l="1"/>
  <c r="G10" i="7"/>
  <c r="B30" i="1"/>
  <c r="B33" i="7"/>
  <c r="B9" i="7"/>
  <c r="L10" i="7"/>
  <c r="H7" i="7" l="1"/>
  <c r="I7" i="7"/>
  <c r="R7" i="7"/>
  <c r="R5" i="7"/>
  <c r="R8" i="7"/>
  <c r="R4" i="7" l="1"/>
  <c r="O4" i="7"/>
  <c r="T4" i="7"/>
  <c r="R3" i="7" l="1"/>
  <c r="R2" i="7"/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AA19" i="1" s="1"/>
  <c r="Z33" i="7"/>
  <c r="Y33" i="7"/>
  <c r="X33" i="7"/>
  <c r="W33" i="7"/>
  <c r="V33" i="7"/>
  <c r="U33" i="7"/>
  <c r="T33" i="7"/>
  <c r="T19" i="1" s="1"/>
  <c r="S33" i="7"/>
  <c r="R33" i="7"/>
  <c r="R19" i="1" s="1"/>
  <c r="Q33" i="7"/>
  <c r="P33" i="7"/>
  <c r="O33" i="7"/>
  <c r="N33" i="7"/>
  <c r="N30" i="1" s="1"/>
  <c r="M33" i="7"/>
  <c r="L33" i="7"/>
  <c r="L30" i="1" s="1"/>
  <c r="K33" i="7"/>
  <c r="K30" i="1" s="1"/>
  <c r="J33" i="7"/>
  <c r="J30" i="1" s="1"/>
  <c r="I33" i="7"/>
  <c r="H33" i="7"/>
  <c r="G33" i="7"/>
  <c r="G19" i="1" s="1"/>
  <c r="F33" i="7"/>
  <c r="F19" i="1" s="1"/>
  <c r="E33" i="7"/>
  <c r="D33" i="7"/>
  <c r="C33" i="7"/>
  <c r="B19" i="1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S30" i="1"/>
  <c r="Q30" i="1"/>
  <c r="P30" i="1"/>
  <c r="O30" i="1"/>
  <c r="M30" i="1"/>
  <c r="I30" i="1"/>
  <c r="H30" i="1"/>
  <c r="G30" i="1"/>
  <c r="E30" i="1"/>
  <c r="D30" i="1"/>
  <c r="C30" i="1"/>
  <c r="Z29" i="1"/>
  <c r="Y29" i="1"/>
  <c r="V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Z19" i="1"/>
  <c r="Y19" i="1"/>
  <c r="X19" i="1"/>
  <c r="W19" i="1"/>
  <c r="V19" i="1"/>
  <c r="U19" i="1"/>
  <c r="S19" i="1"/>
  <c r="Q19" i="1"/>
  <c r="P19" i="1"/>
  <c r="O19" i="1"/>
  <c r="N19" i="1"/>
  <c r="M19" i="1"/>
  <c r="J19" i="1"/>
  <c r="I19" i="1"/>
  <c r="H19" i="1"/>
  <c r="E19" i="1"/>
  <c r="D19" i="1"/>
  <c r="C19" i="1"/>
  <c r="Z18" i="1"/>
  <c r="Y18" i="1"/>
  <c r="V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AA30" i="1" l="1"/>
  <c r="L19" i="1"/>
  <c r="K19" i="1"/>
  <c r="T30" i="1"/>
  <c r="R30" i="1"/>
  <c r="AC33" i="7"/>
  <c r="F30" i="1"/>
  <c r="T18" i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30" i="1" l="1"/>
  <c r="AC29" i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<sst xmlns="http://schemas.openxmlformats.org/spreadsheetml/2006/main" count="415" uniqueCount="93">
  <si>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</si>
  <si>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</si>
  <si>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</si>
  <si>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</si>
  <si>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</si>
  <si>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</si>
  <si>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</si>
  <si>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</si>
  <si>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</si>
  <si>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</si>
  <si>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</si>
  <si>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</si>
  <si>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</si>
  <si>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</si>
  <si>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</si>
  <si>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</si>
  <si>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</si>
  <si>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</si>
  <si>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</si>
  <si>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</si>
  <si>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</si>
  <si>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</si>
  <si>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</si>
  <si>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</si>
  <si>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</si>
  <si>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</si>
  <si>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</si>
  <si>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</si>
  <si>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</si>
  <si>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</si>
  <si>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</si>
  <si>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</si>
  <si>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</si>
  <si>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</si>
  <si>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</si>
  <si>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</si>
  <si>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</si>
  <si>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</si>
  <si>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</si>
  <si>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</si>
  <si>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</si>
  <si>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</si>
  <si>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</si>
  <si>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</si>
  <si>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</si>
  <si>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</si>
  <si>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</si>
  <si>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</si>
  <si>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</si>
  <si>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</si>
  <si>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</si>
  <si>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</si>
  <si>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</si>
  <si>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</si>
  <si>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</si>
  <si>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</si>
  <si>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</si>
  <si>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</si>
  <si>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</si>
  <si>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</si>
  <si>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</si>
  <si>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</si>
  <si>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</si>
  <si>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</si>
  <si>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</si>
  <si>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</si>
  <si>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</si>
  <si>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</si>
  <si>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</si>
  <si>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</si>
  <si>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</si>
  <si>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</si>
  <si>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</si>
  <si>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</si>
  <si>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</si>
  <si>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</si>
  <si>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</si>
  <si>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</si>
  <si>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</si>
  <si>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</si>
  <si>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</si>
  <si>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</si>
  <si>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</si>
  <si>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</si>
  <si>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</si>
  <si>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</si>
  <si>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</si>
  <si>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</si>
  <si>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</si>
  <si>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</si>
  <si>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</si>
  <si>
    <t>Arreglo porton y luz</t>
  </si>
  <si>
    <t>llave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</si>
</sst>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zoomScaleNormal="100" workbookViewId="0">
      <selection activeCell="H15" sqref="H15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25">
      <c r="A8" s="1" t="s">
        <v>42</v>
      </c>
      <c r="B8" s="1">
        <v>27138.14</v>
      </c>
      <c r="D8" s="1">
        <v>15750</v>
      </c>
      <c r="E8" s="1">
        <v>0</v>
      </c>
      <c r="F8" s="1">
        <v>27500</v>
      </c>
      <c r="G8" s="1">
        <v>1100</v>
      </c>
      <c r="H8" s="1">
        <v>3300</v>
      </c>
      <c r="I8" s="1">
        <v>3000</v>
      </c>
      <c r="J8" s="1">
        <v>700</v>
      </c>
      <c r="K8" s="1">
        <v>26738</v>
      </c>
      <c r="L8" s="1">
        <v>18000</v>
      </c>
      <c r="M8" s="1">
        <v>18000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190336.14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77168.070000000007</v>
      </c>
      <c r="AI8" s="9">
        <f t="shared" si="4"/>
        <v>79418.070000000007</v>
      </c>
      <c r="AJ8" s="10">
        <f t="shared" si="5"/>
        <v>156586.14000000001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25">
      <c r="A12" s="45" t="s">
        <v>45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25">
      <c r="A19" s="1" t="s">
        <v>42</v>
      </c>
      <c r="B19" s="1">
        <f>IF(Octubre!B33&gt;0,Octubre!B33,"")</f>
        <v>27138.14</v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>
        <f>IF(Octubre!F33&gt;0,Octubre!F33,"")</f>
        <v>18447</v>
      </c>
      <c r="G19" s="1">
        <f>IF(Octubre!G33&gt;0,Octubre!G33,"")</f>
        <v>998.36</v>
      </c>
      <c r="H19" s="1">
        <f>IF(Octubre!H33&gt;0,Octubre!H33,"")</f>
        <v>3291.56</v>
      </c>
      <c r="I19" s="1">
        <f>IF(Octubre!I33&gt;0,Octubre!I33,"")</f>
        <v>3274.43</v>
      </c>
      <c r="J19" s="1">
        <f>IF(Octubre!J33&gt;0,Octubre!J33,"")</f>
        <v>700</v>
      </c>
      <c r="K19" s="1">
        <f>IF(Octubre!K33&gt;0,Octubre!K33,"")</f>
        <v>26737.25</v>
      </c>
      <c r="L19" s="1">
        <f>IF(Octubre!L33&gt;0,Octubre!L33,"")</f>
        <v>17990.03</v>
      </c>
      <c r="M19" s="1" t="str">
        <f>IF(Octubre!M33&gt;0,Octubre!M33,"")</f>
        <v/>
      </c>
      <c r="N19" s="1">
        <f>IF(Octubre!N33&gt;0,Octubre!N33,"")</f>
        <v>810</v>
      </c>
      <c r="O19" s="1">
        <f>IF(Octubre!O33&gt;0,Octubre!O33,"")</f>
        <v>491.81</v>
      </c>
      <c r="P19" s="1" t="str">
        <f>IF(Octubre!P33&gt;0,Octubre!P33,"")</f>
        <v/>
      </c>
      <c r="Q19" s="1" t="str">
        <f>IF(Octubre!Q33&gt;0,Octubre!Q33,"")</f>
        <v/>
      </c>
      <c r="R19" s="1">
        <f>IF(Octubre!R33&gt;0,Octubre!R33,"")</f>
        <v>7748.6</v>
      </c>
      <c r="S19" s="1" t="str">
        <f>IF(Octubre!S33&gt;0,Octubre!S33,"")</f>
        <v/>
      </c>
      <c r="T19" s="1">
        <f>IF(Octubre!T33&gt;0,Octubre!T33,"")</f>
        <v>1534.43</v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>
        <f>IF(Octubre!AA33&gt;0,Octubre!AA33,"")</f>
        <v>3000</v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6" t="s">
        <v>48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25">
      <c r="A30" s="1" t="s">
        <v>42</v>
      </c>
      <c r="B30" s="1" t="str">
        <f>IF(ISNUMBER(Setiembre!B33),B9-Setiembre!B33,"")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>
        <f>IF(ISNUMBER(Octubre!F33),F8-Octubre!F33,"")</f>
        <v>9053</v>
      </c>
      <c r="G30" s="1">
        <f>IF(ISNUMBER(Octubre!G33),G8-Octubre!G33,"")</f>
        <v>101.63999999999999</v>
      </c>
      <c r="H30" s="1">
        <f>IF(ISNUMBER(Octubre!H33),H8-Octubre!H33,"")</f>
        <v>8.4400000000000546</v>
      </c>
      <c r="I30" s="1">
        <f>IF(ISNUMBER(Octubre!I33),I8-Octubre!I33,"")</f>
        <v>-274.42999999999984</v>
      </c>
      <c r="J30" s="1">
        <f>IF(ISNUMBER(Octubre!J33),J8-Octubre!J33,"")</f>
        <v>0</v>
      </c>
      <c r="K30" s="1">
        <f>IF(ISNUMBER(Octubre!K33),K8-Octubre!K33,"")</f>
        <v>0.75</v>
      </c>
      <c r="L30" s="1">
        <f>IF(ISNUMBER(Octubre!L33),L8-Octubre!L33,"")</f>
        <v>9.9700000000011642</v>
      </c>
      <c r="M30" s="1" t="str">
        <f>IF(ISNUMBER(Octubre!M33),M8-Octubre!M33,"")</f>
        <v/>
      </c>
      <c r="N30" s="1">
        <f>IF(ISNUMBER(Octubre!N33),N8-Octubre!N33,"")</f>
        <v>0</v>
      </c>
      <c r="O30" s="1">
        <f>IF(ISNUMBER(Octubre!O33),O8-Octubre!O33,"")</f>
        <v>3908.19</v>
      </c>
      <c r="P30" s="1" t="str">
        <f>IF(ISNUMBER(Octubre!P33),P8-Octubre!P33,"")</f>
        <v/>
      </c>
      <c r="Q30" s="1" t="str">
        <f>IF(ISNUMBER(Octubre!Q33),Q8-Octubre!Q33,"")</f>
        <v/>
      </c>
      <c r="R30" s="1">
        <f>IF(ISNUMBER(Octubre!R33),R8-Octubre!R33,"")</f>
        <v>12251.4</v>
      </c>
      <c r="S30" s="1" t="str">
        <f>IF(ISNUMBER(Octubre!S33),S8-Octubre!S33,"")</f>
        <v/>
      </c>
      <c r="T30" s="1">
        <f>IF(ISNUMBER(Octubre!T33),T8-Octubre!T33,"")</f>
        <v>3465.5699999999997</v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>
        <f>IF(ISNUMBER(Octubre!AA33),AA8-Octubre!AA33,"")</f>
        <v>2000</v>
      </c>
      <c r="AC30" s="12">
        <f t="shared" si="7"/>
        <v>30524.53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7875</v>
      </c>
      <c r="G33" s="12">
        <f t="shared" si="8"/>
        <v>106.63999999999999</v>
      </c>
      <c r="H33" s="12">
        <f t="shared" si="8"/>
        <v>433.76000000000022</v>
      </c>
      <c r="I33" s="12">
        <f t="shared" si="8"/>
        <v>802.10999999999967</v>
      </c>
      <c r="J33" s="12">
        <f t="shared" si="8"/>
        <v>300</v>
      </c>
      <c r="K33" s="12">
        <f t="shared" si="8"/>
        <v>102.04999999999791</v>
      </c>
      <c r="L33" s="12">
        <f t="shared" si="8"/>
        <v>342.16999999999825</v>
      </c>
      <c r="M33" s="12">
        <f t="shared" si="8"/>
        <v>-13678.119999999999</v>
      </c>
      <c r="N33" s="12">
        <f t="shared" si="8"/>
        <v>80</v>
      </c>
      <c r="O33" s="12">
        <f t="shared" si="8"/>
        <v>14617.86</v>
      </c>
      <c r="P33" s="12">
        <f t="shared" si="8"/>
        <v>0</v>
      </c>
      <c r="Q33" s="12">
        <f t="shared" si="8"/>
        <v>42.620000000000346</v>
      </c>
      <c r="R33" s="12">
        <f t="shared" si="8"/>
        <v>9671.3600000000024</v>
      </c>
      <c r="S33" s="12">
        <f t="shared" si="8"/>
        <v>2761.5400000000004</v>
      </c>
      <c r="T33" s="12">
        <f t="shared" si="8"/>
        <v>7503.5400000000009</v>
      </c>
      <c r="U33" s="12">
        <f t="shared" si="8"/>
        <v>619.26000000000022</v>
      </c>
      <c r="V33" s="12">
        <f t="shared" si="8"/>
        <v>0</v>
      </c>
      <c r="W33" s="12">
        <f t="shared" si="8"/>
        <v>1483.6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-13313.599999999999</v>
      </c>
      <c r="AC33" s="12">
        <f t="shared" si="7"/>
        <v>22330.019999999997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opLeftCell="R16" zoomScaleNormal="100" workbookViewId="0">
      <selection activeCell="R31" sqref="R3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topLeftCell="E1" zoomScaleNormal="100" workbookViewId="0">
      <selection activeCell="R10" sqref="R1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5703125" customWidth="1"/>
    <col min="5" max="12" width="13" customWidth="1"/>
    <col min="13" max="13" width="17.140625" customWidth="1"/>
    <col min="14" max="25" width="13" customWidth="1"/>
    <col min="26" max="26" width="15.28515625" customWidth="1"/>
    <col min="27" max="27" width="13" customWidth="1"/>
    <col min="28" max="28" width="14" customWidth="1"/>
    <col min="29" max="29" width="25" customWidth="1"/>
    <col min="30" max="30" width="23.710937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1076-17.64</f>
        <v>1058.3599999999999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1058.3599999999999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1237-39.84+540-18.97</f>
        <v>1718.19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1718.19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43">
        <v>18447</v>
      </c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131-2.23</f>
        <v>128.77000000000001</v>
      </c>
      <c r="S4" s="35"/>
      <c r="T4" s="35">
        <f>1300-21.31+260-4.26</f>
        <v>1534.43</v>
      </c>
      <c r="U4" s="35"/>
      <c r="V4" s="35"/>
      <c r="W4" s="35"/>
      <c r="X4" s="35"/>
      <c r="Y4" s="35"/>
      <c r="Z4" s="35"/>
      <c r="AA4" s="35"/>
      <c r="AB4" s="36"/>
      <c r="AC4" s="35">
        <f t="shared" si="0"/>
        <v>20602.010000000002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962+1100-15.77-18.03+1436-17.52+131-2.23</f>
        <v>3575.45</v>
      </c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3575.45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>
        <f>3327-35.44</f>
        <v>3291.56</v>
      </c>
      <c r="I7" s="35">
        <f>3329-54.57</f>
        <v>3274.43</v>
      </c>
      <c r="J7" s="35"/>
      <c r="K7" s="35">
        <v>26737.25</v>
      </c>
      <c r="L7" s="35"/>
      <c r="M7" s="35"/>
      <c r="N7" s="35"/>
      <c r="O7" s="35"/>
      <c r="P7" s="35"/>
      <c r="Q7" s="35"/>
      <c r="R7" s="35">
        <f>266-4.36</f>
        <v>261.64</v>
      </c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33564.879999999997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>
        <v>700</v>
      </c>
      <c r="K8" s="35"/>
      <c r="L8" s="35"/>
      <c r="M8" s="35"/>
      <c r="N8" s="35">
        <v>810</v>
      </c>
      <c r="O8" s="35"/>
      <c r="P8" s="35"/>
      <c r="Q8" s="35"/>
      <c r="R8" s="35">
        <f>281.35-4.65</f>
        <v>276.70000000000005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1786.7</v>
      </c>
      <c r="AD8" s="35"/>
    </row>
    <row r="9" spans="1:30" ht="15" customHeight="1" x14ac:dyDescent="0.25">
      <c r="A9" s="34">
        <v>8</v>
      </c>
      <c r="B9" s="35">
        <f>76.49+18.15+21856+5187.5</f>
        <v>27138.14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>
        <v>2500</v>
      </c>
      <c r="AB9" s="36"/>
      <c r="AC9" s="35">
        <f t="shared" si="0"/>
        <v>29638.14</v>
      </c>
      <c r="AD9" s="35" t="s">
        <v>91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>
        <f>1015-16.64</f>
        <v>998.36</v>
      </c>
      <c r="H10" s="35"/>
      <c r="I10" s="35"/>
      <c r="J10" s="35"/>
      <c r="K10" s="35"/>
      <c r="L10" s="35">
        <f>9705.89+8284.14</f>
        <v>17990.03</v>
      </c>
      <c r="M10" s="35"/>
      <c r="N10" s="35"/>
      <c r="O10" s="35"/>
      <c r="P10" s="35"/>
      <c r="Q10" s="35"/>
      <c r="R10" s="35">
        <f>743-13.51</f>
        <v>729.49</v>
      </c>
      <c r="S10" s="35"/>
      <c r="T10" s="35"/>
      <c r="U10" s="35"/>
      <c r="V10" s="35"/>
      <c r="W10" s="35"/>
      <c r="X10" s="35"/>
      <c r="Y10" s="35"/>
      <c r="Z10" s="35"/>
      <c r="AA10" s="35">
        <v>500</v>
      </c>
      <c r="AB10" s="36"/>
      <c r="AC10" s="35">
        <f t="shared" si="0"/>
        <v>20217.88</v>
      </c>
      <c r="AD10" s="35" t="s">
        <v>92</v>
      </c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>
        <f>IF(COUNTA(B2:B32)&gt;0,SUM(B2:B32),"")</f>
        <v>27138.14</v>
      </c>
      <c r="C33" s="12" t="str">
        <f t="shared" ref="B33:AC33" si="1">IF(COUNTA(C2:C32)&gt;0,SUM(C2:C32),"")</f>
        <v/>
      </c>
      <c r="D33" s="12" t="str">
        <f t="shared" si="1"/>
        <v/>
      </c>
      <c r="E33" s="12" t="str">
        <f t="shared" si="1"/>
        <v/>
      </c>
      <c r="F33" s="12">
        <f t="shared" si="1"/>
        <v>18447</v>
      </c>
      <c r="G33" s="12">
        <f t="shared" si="1"/>
        <v>998.36</v>
      </c>
      <c r="H33" s="12">
        <f t="shared" si="1"/>
        <v>3291.56</v>
      </c>
      <c r="I33" s="12">
        <f t="shared" si="1"/>
        <v>3274.43</v>
      </c>
      <c r="J33" s="12">
        <f t="shared" si="1"/>
        <v>700</v>
      </c>
      <c r="K33" s="12">
        <f t="shared" si="1"/>
        <v>26737.25</v>
      </c>
      <c r="L33" s="12">
        <f t="shared" si="1"/>
        <v>17990.03</v>
      </c>
      <c r="M33" s="12" t="str">
        <f t="shared" si="1"/>
        <v/>
      </c>
      <c r="N33" s="12">
        <f t="shared" si="1"/>
        <v>810</v>
      </c>
      <c r="O33" s="12">
        <f t="shared" si="1"/>
        <v>491.81</v>
      </c>
      <c r="P33" s="12" t="str">
        <f t="shared" si="1"/>
        <v/>
      </c>
      <c r="Q33" s="12" t="str">
        <f t="shared" si="1"/>
        <v/>
      </c>
      <c r="R33" s="12">
        <f t="shared" si="1"/>
        <v>7748.6</v>
      </c>
      <c r="S33" s="12" t="str">
        <f t="shared" si="1"/>
        <v/>
      </c>
      <c r="T33" s="12">
        <f t="shared" si="1"/>
        <v>1534.43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>
        <f t="shared" si="1"/>
        <v>3000</v>
      </c>
      <c r="AB33" s="38" t="str">
        <f t="shared" si="1"/>
        <v/>
      </c>
      <c r="AC33" s="12">
        <f t="shared" si="1"/>
        <v>112161.61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2026-10-09T13:37:09Z</dcterms:modified>
  <dc:language>en-US</dc:language>
</cp:coreProperties>
</file>