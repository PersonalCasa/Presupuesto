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27D6989-F979-4A34-9046-155BAD10C49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" i="3" l="1"/>
  <c r="Z2" i="3"/>
  <c r="Q30" i="2"/>
  <c r="Q29" i="2"/>
  <c r="Q28" i="2"/>
  <c r="X27" i="2"/>
  <c r="Q27" i="2"/>
  <c r="Q26" i="2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Y26" i="1"/>
  <c r="X26" i="1"/>
  <c r="W26" i="1"/>
  <c r="V26" i="1"/>
  <c r="U26" i="1"/>
  <c r="T26" i="1"/>
  <c r="S26" i="1"/>
  <c r="P26" i="1"/>
  <c r="O26" i="1"/>
  <c r="N26" i="1"/>
  <c r="M26" i="1"/>
  <c r="L26" i="1"/>
  <c r="K26" i="1"/>
  <c r="J26" i="1"/>
  <c r="I26" i="1"/>
  <c r="H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Z26" i="1" l="1"/>
  <c r="AA32" i="3"/>
  <c r="AA15" i="1" s="1"/>
  <c r="G26" i="1"/>
  <c r="Q26" i="1"/>
  <c r="R26" i="1"/>
  <c r="AA28" i="1"/>
  <c r="AA27" i="1"/>
  <c r="T33" i="2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<sst xmlns="http://schemas.openxmlformats.org/spreadsheetml/2006/main" count="376" uniqueCount="71">
  <si>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</si>
  <si>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</si>
  <si>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</si>
  <si>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</si>
  <si>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</si>
  <si>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</si>
  <si>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</si>
  <si>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</si>
  <si>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</si>
  <si>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</si>
  <si>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</si>
  <si>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</si>
  <si>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</si>
  <si>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</si>
  <si>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</si>
  <si>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</si>
  <si>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</si>
  <si>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</si>
  <si>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</si>
  <si>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</si>
  <si>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</si>
  <si>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</si>
  <si>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</si>
  <si>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</si>
  <si>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</si>
  <si>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</si>
  <si>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</si>
  <si>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</si>
  <si>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</si>
  <si>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</si>
  <si>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</si>
  <si>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</si>
  <si>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</si>
  <si>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</si>
  <si>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</si>
  <si>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</si>
  <si>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</si>
  <si>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</si>
  <si>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</si>
  <si>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</si>
  <si>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</si>
  <si>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</si>
  <si>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</si>
  <si>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</si>
  <si>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</si>
  <si>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</si>
  <si>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</si>
  <si>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</si>
  <si>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</si>
  <si>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</si>
  <si>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</si>
  <si>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</si>
  <si>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</si>
  <si>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</si>
  <si>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</si>
  <si>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</si>
  <si>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</si>
  <si>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</si>
  <si>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</si>
  <si>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</si>
  <si>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</si>
  <si>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</si>
  <si>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</si>
  <si>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</si>
  <si>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</si>
  <si>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</si>
  <si>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</si>
  <si>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</si>
  <si>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</si>
  <si>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</si>
  <si>
    <t>Biogrip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</si>
</sst>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M12" zoomScaleNormal="100" workbookViewId="0">
      <selection activeCell="AB25" sqref="AB2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10000</v>
      </c>
      <c r="L4" s="1">
        <v>8000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146100</v>
      </c>
      <c r="AB4" s="5">
        <f t="shared" si="1"/>
        <v>73050</v>
      </c>
      <c r="AC4" s="1">
        <v>10000</v>
      </c>
      <c r="AD4" s="5">
        <f t="shared" si="2"/>
        <v>11950</v>
      </c>
      <c r="AE4" s="1">
        <v>95000</v>
      </c>
      <c r="AF4" s="6">
        <f t="shared" ref="AF4:AF10" si="5">AA4/2-L4</f>
        <v>65050</v>
      </c>
      <c r="AG4" s="7">
        <f t="shared" si="3"/>
        <v>57550</v>
      </c>
      <c r="AH4" s="8">
        <f t="shared" si="4"/>
        <v>122600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M5" s="1">
        <v>850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135719</v>
      </c>
      <c r="AB5" s="5">
        <f t="shared" si="1"/>
        <v>67859.5</v>
      </c>
      <c r="AC5" s="1">
        <v>10000</v>
      </c>
      <c r="AD5" s="5">
        <f t="shared" si="2"/>
        <v>17140.5</v>
      </c>
      <c r="AE5" s="1">
        <v>95000</v>
      </c>
      <c r="AF5" s="6">
        <f t="shared" si="5"/>
        <v>60359.5</v>
      </c>
      <c r="AG5" s="7">
        <f t="shared" si="3"/>
        <v>52359.5</v>
      </c>
      <c r="AH5" s="8">
        <f t="shared" si="4"/>
        <v>112719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M6" s="1">
        <v>850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129850</v>
      </c>
      <c r="AB6" s="5">
        <f t="shared" si="1"/>
        <v>64925</v>
      </c>
      <c r="AC6" s="1">
        <v>10000</v>
      </c>
      <c r="AD6" s="5">
        <f t="shared" si="2"/>
        <v>20075</v>
      </c>
      <c r="AE6" s="1">
        <v>95000</v>
      </c>
      <c r="AF6" s="6">
        <f t="shared" si="5"/>
        <v>57425</v>
      </c>
      <c r="AG6" s="7">
        <f t="shared" si="3"/>
        <v>49425</v>
      </c>
      <c r="AH6" s="8">
        <f t="shared" si="4"/>
        <v>106850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M7" s="1">
        <v>850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160569</v>
      </c>
      <c r="AB7" s="5">
        <f t="shared" si="1"/>
        <v>80284.5</v>
      </c>
      <c r="AC7" s="1">
        <v>10000</v>
      </c>
      <c r="AD7" s="5">
        <f t="shared" si="2"/>
        <v>4715.5</v>
      </c>
      <c r="AE7" s="1">
        <v>95000</v>
      </c>
      <c r="AF7" s="6">
        <f t="shared" si="5"/>
        <v>72784.5</v>
      </c>
      <c r="AG7" s="7">
        <f t="shared" si="3"/>
        <v>64784.5</v>
      </c>
      <c r="AH7" s="8">
        <f t="shared" si="4"/>
        <v>137569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M8" s="1">
        <v>850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145150</v>
      </c>
      <c r="AB8" s="5">
        <f t="shared" si="1"/>
        <v>72575</v>
      </c>
      <c r="AC8" s="1">
        <v>10000</v>
      </c>
      <c r="AD8" s="5">
        <f t="shared" si="2"/>
        <v>12425</v>
      </c>
      <c r="AE8" s="1">
        <v>95000</v>
      </c>
      <c r="AF8" s="6">
        <f t="shared" si="5"/>
        <v>65075</v>
      </c>
      <c r="AG8" s="7">
        <f t="shared" si="3"/>
        <v>57075</v>
      </c>
      <c r="AH8" s="8">
        <f t="shared" si="4"/>
        <v>122150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M9" s="1">
        <v>850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136019</v>
      </c>
      <c r="AB9" s="5">
        <f t="shared" si="1"/>
        <v>68009.5</v>
      </c>
      <c r="AC9" s="1">
        <v>10000</v>
      </c>
      <c r="AD9" s="5">
        <f t="shared" si="2"/>
        <v>16990.5</v>
      </c>
      <c r="AE9" s="1">
        <v>95000</v>
      </c>
      <c r="AF9" s="6">
        <f t="shared" si="5"/>
        <v>60509.5</v>
      </c>
      <c r="AG9" s="7">
        <f t="shared" si="3"/>
        <v>52509.5</v>
      </c>
      <c r="AH9" s="8">
        <f t="shared" si="4"/>
        <v>113019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M10" s="1">
        <v>850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151900</v>
      </c>
      <c r="AB10" s="5">
        <f t="shared" si="1"/>
        <v>75950</v>
      </c>
      <c r="AC10" s="1">
        <v>10000</v>
      </c>
      <c r="AD10" s="5">
        <f t="shared" si="2"/>
        <v>9050</v>
      </c>
      <c r="AE10" s="1">
        <v>95000</v>
      </c>
      <c r="AF10" s="6">
        <f t="shared" si="5"/>
        <v>68450</v>
      </c>
      <c r="AG10" s="7">
        <f t="shared" si="3"/>
        <v>60450</v>
      </c>
      <c r="AH10" s="8">
        <f t="shared" si="4"/>
        <v>128900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19619.210000000003</v>
      </c>
      <c r="R14" s="1">
        <f>IF(Mayo!R33&gt;0,Mayo!R33,"")</f>
        <v>811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>
        <f>IF(Mayo!X33&gt;0,Mayo!X33,"")</f>
        <v>1780.33</v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158483.02999999997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>
        <f>IF(Junio!Q32&gt;0,Junio!Q32,"")</f>
        <v>6434.3399999999992</v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>
        <f>IF(Junio!Z32&gt;0,Junio!Z32,"")</f>
        <v>204.59</v>
      </c>
      <c r="AA15" s="1">
        <f>IF(Junio!AA32&gt;0,Junio!AA32,"")</f>
        <v>6638.9299999999994</v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380.78999999999724</v>
      </c>
      <c r="R25" s="1">
        <f>IF(ISNUMBER(Mayo!R33),R3-Mayo!R33,"")</f>
        <v>1689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>
        <f>IF(ISNUMBER(Mayo!X33),X3-Mayo!X33,"")</f>
        <v>219.67000000000007</v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12166.969999999994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>
        <f>IF(ISNUMBER(Junio!Q32),Q4-Junio!Q32,"")</f>
        <v>13565.66</v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>
        <f>IF(ISNUMBER(Junio!Z32),Z4-Junio!Z32,"")</f>
        <v>4795.41</v>
      </c>
      <c r="AA26" s="10">
        <f t="shared" si="6"/>
        <v>18361.07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13946.449999999997</v>
      </c>
      <c r="R33" s="10">
        <f t="shared" si="7"/>
        <v>1689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219.67000000000007</v>
      </c>
      <c r="Y33" s="10">
        <f t="shared" si="7"/>
        <v>0</v>
      </c>
      <c r="Z33" s="10">
        <f t="shared" si="7"/>
        <v>5089.84</v>
      </c>
      <c r="AA33" s="10">
        <f t="shared" si="6"/>
        <v>30528.039999999997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R25" zoomScaleNormal="100" workbookViewId="0">
      <selection activeCell="AE45" sqref="AE4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>
        <f>759-12.98</f>
        <v>746.02</v>
      </c>
      <c r="R27" s="14"/>
      <c r="S27" s="14"/>
      <c r="T27" s="14"/>
      <c r="U27" s="14"/>
      <c r="V27" s="14"/>
      <c r="W27" s="14"/>
      <c r="X27" s="14">
        <f>1810-29.67</f>
        <v>1780.33</v>
      </c>
      <c r="Y27" s="14"/>
      <c r="Z27" s="14"/>
      <c r="AA27" s="14">
        <f t="shared" si="0"/>
        <v>2526.35</v>
      </c>
      <c r="AB27" s="14" t="s">
        <v>69</v>
      </c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>
        <f>662-10.86</f>
        <v>651.14</v>
      </c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651.14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>
        <f>444-6.38+248-4.07</f>
        <v>681.55</v>
      </c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681.55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>
        <f>671.07-12.2+545-8.94</f>
        <v>1194.9299999999998</v>
      </c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1194.9299999999998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>
        <v>661</v>
      </c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661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19619.210000000003</v>
      </c>
      <c r="R33" s="10">
        <f t="shared" si="1"/>
        <v>811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>
        <f t="shared" si="1"/>
        <v>1780.33</v>
      </c>
      <c r="Y33" s="10">
        <f t="shared" si="1"/>
        <v>500</v>
      </c>
      <c r="Z33" s="10">
        <f t="shared" si="1"/>
        <v>4705.57</v>
      </c>
      <c r="AA33" s="10">
        <f t="shared" si="1"/>
        <v>158483.02999999997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topLeftCell="P1" zoomScaleNormal="100" workbookViewId="0">
      <selection activeCell="R3" sqref="R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0" width="15.85546875" bestFit="1" customWidth="1"/>
    <col min="11" max="11" width="16" customWidth="1"/>
    <col min="12" max="12" width="21.28515625" bestFit="1" customWidth="1"/>
    <col min="13" max="13" width="13" customWidth="1"/>
    <col min="14" max="14" width="13.85546875" bestFit="1" customWidth="1"/>
    <col min="15" max="19" width="13" customWidth="1"/>
    <col min="20" max="20" width="20.28515625" bestFit="1" customWidth="1"/>
    <col min="21" max="22" width="13" customWidth="1"/>
    <col min="23" max="23" width="21" customWidth="1"/>
    <col min="24" max="24" width="13" customWidth="1"/>
    <col min="25" max="25" width="21.42578125" customWidth="1"/>
    <col min="26" max="26" width="13" customWidth="1"/>
    <col min="27" max="27" width="14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>
        <f>2604.85+606-9.93+408+237-0.84+423-6.93+504-8.26+1702-24.55</f>
        <v>6434.3399999999992</v>
      </c>
      <c r="R2" s="14"/>
      <c r="S2" s="14"/>
      <c r="T2" s="14"/>
      <c r="U2" s="14"/>
      <c r="V2" s="14"/>
      <c r="W2" s="14"/>
      <c r="X2" s="14"/>
      <c r="Y2" s="14"/>
      <c r="Z2" s="14">
        <f>208-3.41</f>
        <v>204.59</v>
      </c>
      <c r="AA2" s="14">
        <f t="shared" ref="AA2:AA31" si="0">SUM(B2:Z2)</f>
        <v>6638.9299999999994</v>
      </c>
      <c r="AB2" s="14" t="s">
        <v>70</v>
      </c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>
        <f t="shared" si="1"/>
        <v>6434.3399999999992</v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>
        <f t="shared" si="1"/>
        <v>204.59</v>
      </c>
      <c r="AA32" s="10">
        <f t="shared" si="1"/>
        <v>6638.9299999999994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2026-06-01T01:31:40Z</dcterms:modified>
  <dc:language>en-US</dc:language>
</cp:coreProperties>
</file>