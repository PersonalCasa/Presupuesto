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7F93048B-105C-409B-8E81-B96472EA3D4A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1" i="3" l="1"/>
  <c r="S11" i="3"/>
  <c r="AA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A32" i="3"/>
  <c r="AA15" i="1" s="1"/>
  <c r="Z32" i="3"/>
  <c r="Y32" i="3"/>
  <c r="X32" i="3"/>
  <c r="W32" i="3"/>
  <c r="V32" i="3"/>
  <c r="U32" i="3"/>
  <c r="T32" i="3"/>
  <c r="S32" i="3"/>
  <c r="Q32" i="3"/>
  <c r="P32" i="3"/>
  <c r="P26" i="1" s="1"/>
  <c r="O32" i="3"/>
  <c r="N32" i="3"/>
  <c r="M32" i="3"/>
  <c r="J32" i="3"/>
  <c r="J26" i="1" s="1"/>
  <c r="I32" i="3"/>
  <c r="G32" i="3"/>
  <c r="G15" i="1" s="1"/>
  <c r="F32" i="3"/>
  <c r="E32" i="3"/>
  <c r="D32" i="3"/>
  <c r="D26" i="1" s="1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R32" i="3" s="1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Z26" i="1"/>
  <c r="Y26" i="1"/>
  <c r="X26" i="1"/>
  <c r="W26" i="1"/>
  <c r="V26" i="1"/>
  <c r="U26" i="1"/>
  <c r="T26" i="1"/>
  <c r="S26" i="1"/>
  <c r="Q26" i="1"/>
  <c r="O26" i="1"/>
  <c r="N26" i="1"/>
  <c r="M26" i="1"/>
  <c r="I26" i="1"/>
  <c r="G26" i="1"/>
  <c r="F26" i="1"/>
  <c r="E26" i="1"/>
  <c r="C26" i="1"/>
  <c r="B26" i="1"/>
  <c r="Z25" i="1"/>
  <c r="Z33" i="1" s="1"/>
  <c r="X25" i="1"/>
  <c r="X33" i="1" s="1"/>
  <c r="W25" i="1"/>
  <c r="W33" i="1" s="1"/>
  <c r="V25" i="1"/>
  <c r="V33" i="1" s="1"/>
  <c r="T25" i="1"/>
  <c r="T33" i="1" s="1"/>
  <c r="S25" i="1"/>
  <c r="S33" i="1" s="1"/>
  <c r="P25" i="1"/>
  <c r="N25" i="1"/>
  <c r="N33" i="1" s="1"/>
  <c r="M25" i="1"/>
  <c r="M33" i="1" s="1"/>
  <c r="L25" i="1"/>
  <c r="K25" i="1"/>
  <c r="J25" i="1"/>
  <c r="I25" i="1"/>
  <c r="I33" i="1" s="1"/>
  <c r="G25" i="1"/>
  <c r="F25" i="1"/>
  <c r="E25" i="1"/>
  <c r="E33" i="1" s="1"/>
  <c r="D25" i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C15" i="1"/>
  <c r="Z15" i="1"/>
  <c r="Y15" i="1"/>
  <c r="X15" i="1"/>
  <c r="W15" i="1"/>
  <c r="V15" i="1"/>
  <c r="U15" i="1"/>
  <c r="T15" i="1"/>
  <c r="S15" i="1"/>
  <c r="Q15" i="1"/>
  <c r="P15" i="1"/>
  <c r="O15" i="1"/>
  <c r="N15" i="1"/>
  <c r="M15" i="1"/>
  <c r="I15" i="1"/>
  <c r="F15" i="1"/>
  <c r="E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AH9" i="1" l="1"/>
  <c r="AJ9" i="1" s="1"/>
  <c r="AC28" i="1"/>
  <c r="F33" i="1"/>
  <c r="G33" i="1"/>
  <c r="AA26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R26" i="1"/>
  <c r="R15" i="1"/>
  <c r="O14" i="1"/>
  <c r="O25" i="1"/>
  <c r="O33" i="1" s="1"/>
  <c r="AH8" i="1"/>
  <c r="AI8" i="1"/>
  <c r="AI7" i="1"/>
  <c r="AH7" i="1"/>
  <c r="H25" i="1"/>
  <c r="H33" i="1" s="1"/>
  <c r="H14" i="1"/>
  <c r="Y25" i="1"/>
  <c r="Y33" i="1" s="1"/>
  <c r="Y14" i="1"/>
  <c r="R25" i="1"/>
  <c r="R33" i="1" s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AJ4" i="1" s="1"/>
  <c r="M38" i="1"/>
  <c r="N38" i="1"/>
  <c r="AC7" i="2"/>
  <c r="AC33" i="2" s="1"/>
  <c r="L39" i="1"/>
  <c r="AJ7" i="1" l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<sst xmlns="http://schemas.openxmlformats.org/spreadsheetml/2006/main" count="400" uniqueCount="77">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</sst>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U1" zoomScaleNormal="100" workbookViewId="0">
      <selection activeCell="AH4" sqref="AH4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26054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 t="str">
        <f>IF(Junio!M32&gt;0,Junio!M32,"")</f>
        <v/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12236.69</v>
      </c>
      <c r="S15" s="1">
        <f>IF(Junio!S32&gt;0,Junio!S32,"")</f>
        <v>276.39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16845.239999999998</v>
      </c>
      <c r="AC15" s="1" t="str">
        <f>IF(Junio!AB32&gt;0,Junio!AB32,"")</f>
        <v/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9446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 t="str">
        <f>IF(ISNUMBER(Junio!M32),M4-Junio!M32,"")</f>
        <v/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7763.3099999999995</v>
      </c>
      <c r="S26" s="1">
        <f>IF(ISNUMBER(Junio!S32),S4-Junio!S32,"")</f>
        <v>2223.61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-11845.239999999998</v>
      </c>
      <c r="AC26" s="12">
        <f t="shared" si="7"/>
        <v>7921.0500000000029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9492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72.319999999999709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8144.0999999999967</v>
      </c>
      <c r="S33" s="12">
        <f t="shared" si="8"/>
        <v>3912.61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790.91000000000008</v>
      </c>
      <c r="Y33" s="12">
        <f t="shared" si="8"/>
        <v>219.67000000000007</v>
      </c>
      <c r="Z33" s="12">
        <f t="shared" si="8"/>
        <v>0</v>
      </c>
      <c r="AA33" s="12">
        <f t="shared" si="8"/>
        <v>-11550.809999999998</v>
      </c>
      <c r="AC33" s="12">
        <f t="shared" si="7"/>
        <v>20088.019999999997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C12" sqref="C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abSelected="1" topLeftCell="H1" zoomScaleNormal="100" workbookViewId="0">
      <selection activeCell="T7" sqref="T7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  <col min="30" max="30" width="28.7109375" bestFit="1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>
        <f>208-3.41</f>
        <v>204.59</v>
      </c>
      <c r="AB2" s="36"/>
      <c r="AC2" s="35">
        <f t="shared" ref="AC2:AC31" si="0">SUM(B2:AA2)</f>
        <v>6638.9299999999994</v>
      </c>
      <c r="AD2" s="35" t="s">
        <v>72</v>
      </c>
    </row>
    <row r="3" spans="1:30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17515.509999999998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628.97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>
        <f>980+500+256-8.2-4.2</f>
        <v>1723.6</v>
      </c>
      <c r="AB5" s="36"/>
      <c r="AC5" s="35">
        <f t="shared" si="0"/>
        <v>2121.42</v>
      </c>
      <c r="AD5" s="35" t="s">
        <v>73</v>
      </c>
    </row>
    <row r="6" spans="1:30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>
        <f>99-1.62</f>
        <v>97.38</v>
      </c>
      <c r="AB6" s="36"/>
      <c r="AC6" s="35">
        <f t="shared" si="0"/>
        <v>19998.63</v>
      </c>
      <c r="AD6" s="35" t="s">
        <v>74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1304.6799999999998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2900</v>
      </c>
      <c r="AB9" s="36"/>
      <c r="AC9" s="35">
        <f t="shared" si="0"/>
        <v>4186.1900000000005</v>
      </c>
      <c r="AD9" s="35" t="s">
        <v>75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>
        <f>7700+4290-70.33</f>
        <v>11919.67</v>
      </c>
      <c r="AB10" s="36"/>
      <c r="AC10" s="35">
        <f t="shared" si="0"/>
        <v>22182.57</v>
      </c>
      <c r="AD10" s="35" t="s">
        <v>76</v>
      </c>
    </row>
    <row r="11" spans="1:30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29102.05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26054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 t="str">
        <f t="shared" si="1"/>
        <v/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12236.69</v>
      </c>
      <c r="S32" s="12">
        <f t="shared" si="1"/>
        <v>276.39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16845.239999999998</v>
      </c>
      <c r="AB32" s="38" t="str">
        <f t="shared" si="1"/>
        <v/>
      </c>
      <c r="AC32" s="12">
        <f t="shared" si="1"/>
        <v>103678.95000000001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2026-06-11T11:52:16Z</dcterms:modified>
  <dc:language>en-US</dc:language>
</cp:coreProperties>
</file>