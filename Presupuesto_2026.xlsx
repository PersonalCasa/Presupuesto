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981962B-350B-44DC-BF22-9ED0B8A9F75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7" i="3" l="1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Q26" i="1"/>
  <c r="G26" i="1"/>
  <c r="F26" i="1"/>
  <c r="E26" i="1"/>
  <c r="B26" i="1"/>
  <c r="Z25" i="1"/>
  <c r="X25" i="1"/>
  <c r="W25" i="1"/>
  <c r="V25" i="1"/>
  <c r="V33" i="1" s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Q15" i="1"/>
  <c r="P15" i="1"/>
  <c r="F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O15" i="1" l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A26" i="1" l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<sst xmlns="http://schemas.openxmlformats.org/spreadsheetml/2006/main" count="403" uniqueCount="79">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</sst>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topLeftCell="N10" zoomScaleNormal="100" workbookViewId="0">
      <selection activeCell="Z26" sqref="Z2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18235.61</v>
      </c>
      <c r="S15" s="1">
        <f>IF(Junio!S32&gt;0,Junio!S32,"")</f>
        <v>1378.1999999999998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719.51</v>
      </c>
      <c r="Z15" s="1">
        <f>IF(Junio!AA32&gt;0,Junio!AA32,"")</f>
        <v>5500</v>
      </c>
      <c r="AA15" s="1">
        <f>IF(Junio!AB32&gt;0,Junio!AB32,"")</f>
        <v>16845.239999999998</v>
      </c>
      <c r="AC15" s="1">
        <f>IF(Junio!AC32&gt;0,Junio!AC32,"")</f>
        <v>3738.28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1764.3899999999994</v>
      </c>
      <c r="S26" s="1">
        <f>IF(ISNUMBER(Junio!S32),S4-Junio!S32,"")</f>
        <v>1121.8000000000002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1280.49</v>
      </c>
      <c r="Z26" s="1">
        <f>IF(ISNUMBER(Junio!AA32),Z4-Junio!AA32,"")</f>
        <v>-1650</v>
      </c>
      <c r="AA26" s="1">
        <f>IF(ISNUMBER(Junio!AB32),AA4-Junio!AB32,"")</f>
        <v>-11845.239999999998</v>
      </c>
      <c r="AC26" s="12">
        <f t="shared" si="7"/>
        <v>-11932.879999999997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2145.1799999999967</v>
      </c>
      <c r="S33" s="12">
        <f t="shared" si="8"/>
        <v>2810.8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1500.16</v>
      </c>
      <c r="Z33" s="12">
        <f t="shared" si="8"/>
        <v>-1650</v>
      </c>
      <c r="AA33" s="12">
        <f t="shared" si="8"/>
        <v>-11550.809999999998</v>
      </c>
      <c r="AC33" s="12">
        <f t="shared" si="7"/>
        <v>234.08999999999651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N1" zoomScaleNormal="100" workbookViewId="0">
      <selection activeCell="Z8" sqref="Z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topLeftCell="R2" zoomScaleNormal="100" workbookViewId="0">
      <selection activeCell="R18" sqref="R1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>SUM(B3:AB3)</f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>SUM(B4:AB4)</f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>SUM(B5:AB5)</f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>SUM(B6:AB6)</f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>SUM(B7:AB7)</f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>SUM(B8:AB8)</f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>SUM(B9:AB9)</f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>SUM(B10:AB10)</f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>SUM(B11:AB11)</f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>SUM(B12:AB12)</f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>SUM(B13:AB13)</f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>SUM(B14:AB14)</f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>SUM(B15:AB15)</f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>SUM(B16:AB16)</f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>SUM(B17:AB17)</f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>SUM(B18:AB18)</f>
        <v>0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6"/>
      <c r="AD19" s="35">
        <f>SUM(B19:AB19)</f>
        <v>0</v>
      </c>
      <c r="AE19" s="35"/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>SUM(B20:AB20)</f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>SUM(B21:AB21)</f>
        <v>0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/>
      <c r="AD22" s="35">
        <f>SUM(B22:AB22)</f>
        <v>0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>SUM(B23:AB23)</f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>SUM(B24:AB24)</f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6"/>
      <c r="AD25" s="35">
        <f>SUM(B25:AB25)</f>
        <v>0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>SUM(B26:AB26)</f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>SUM(B27:AB27)</f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>SUM(B28:AB28)</f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>SUM(B29:AB29)</f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>SUM(B30:AB30)</f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>SUM(B31:AB31)</f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0">IF(COUNTA(B2:B31)&gt;0,SUM(B2:B31),"")</f>
        <v/>
      </c>
      <c r="C32" s="12" t="str">
        <f t="shared" si="0"/>
        <v/>
      </c>
      <c r="D32" s="12">
        <f t="shared" si="0"/>
        <v>15540.52</v>
      </c>
      <c r="E32" s="12">
        <f t="shared" si="0"/>
        <v>10990.82</v>
      </c>
      <c r="F32" s="12">
        <f t="shared" si="0"/>
        <v>26054</v>
      </c>
      <c r="G32" s="12">
        <f t="shared" si="0"/>
        <v>1015</v>
      </c>
      <c r="H32" s="12">
        <f t="shared" si="0"/>
        <v>3291.56</v>
      </c>
      <c r="I32" s="12">
        <f t="shared" si="0"/>
        <v>2841.65</v>
      </c>
      <c r="J32" s="12">
        <f t="shared" si="0"/>
        <v>1000</v>
      </c>
      <c r="K32" s="12">
        <f t="shared" si="0"/>
        <v>1286.19</v>
      </c>
      <c r="L32" s="12">
        <f t="shared" si="0"/>
        <v>9690.8900000000012</v>
      </c>
      <c r="M32" s="12">
        <f t="shared" si="0"/>
        <v>21668.69</v>
      </c>
      <c r="N32" s="12">
        <f t="shared" si="0"/>
        <v>810</v>
      </c>
      <c r="O32" s="12" t="str">
        <f t="shared" si="0"/>
        <v/>
      </c>
      <c r="P32" s="12">
        <f t="shared" si="0"/>
        <v>1800</v>
      </c>
      <c r="Q32" s="12" t="str">
        <f t="shared" si="0"/>
        <v/>
      </c>
      <c r="R32" s="12">
        <f t="shared" si="0"/>
        <v>18235.61</v>
      </c>
      <c r="S32" s="12">
        <f t="shared" si="0"/>
        <v>1378.1999999999998</v>
      </c>
      <c r="T32" s="12" t="str">
        <f t="shared" si="0"/>
        <v/>
      </c>
      <c r="U32" s="12" t="str">
        <f t="shared" si="0"/>
        <v/>
      </c>
      <c r="V32" s="12" t="str">
        <f t="shared" si="0"/>
        <v/>
      </c>
      <c r="W32" s="12" t="str">
        <f t="shared" si="0"/>
        <v/>
      </c>
      <c r="X32" s="12">
        <f t="shared" si="0"/>
        <v>215</v>
      </c>
      <c r="Y32" s="12">
        <f t="shared" si="0"/>
        <v>719.51</v>
      </c>
      <c r="Z32" s="12" t="str">
        <f t="shared" si="0"/>
        <v/>
      </c>
      <c r="AA32" s="12">
        <f>SUM(AA2:AA31)</f>
        <v>5500</v>
      </c>
      <c r="AB32" s="12">
        <f t="shared" si="0"/>
        <v>16845.239999999998</v>
      </c>
      <c r="AC32" s="38">
        <f t="shared" si="0"/>
        <v>3738.28</v>
      </c>
      <c r="AD32" s="12">
        <f t="shared" si="0"/>
        <v>138882.88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2026-06-17T09:58:51Z</dcterms:modified>
  <dc:language>en-US</dc:language>
</cp:coreProperties>
</file>