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692F5B54-11B9-4ACB-B234-475E6D3F2917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9" i="2" l="1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<sst xmlns="http://schemas.openxmlformats.org/spreadsheetml/2006/main" count="371" uniqueCount="64">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</sst>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S1" zoomScaleNormal="100" workbookViewId="0">
      <selection activeCell="AJ8" sqref="AJ8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10000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9000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151700</v>
      </c>
      <c r="AB3" s="5">
        <f t="shared" ref="AB3:AB10" si="1">+AA3/2</f>
        <v>75850</v>
      </c>
      <c r="AC3" s="1">
        <v>10000</v>
      </c>
      <c r="AD3" s="5">
        <f t="shared" ref="AD3:AD10" si="2">+AE3-AB3-AC3</f>
        <v>9150</v>
      </c>
      <c r="AE3" s="1">
        <v>95000</v>
      </c>
      <c r="AF3" s="6">
        <f>AA3/2-L3</f>
        <v>65850</v>
      </c>
      <c r="AG3" s="7">
        <f t="shared" ref="AG3:AG10" si="3">AA3/2-D3</f>
        <v>60350</v>
      </c>
      <c r="AH3" s="8">
        <f t="shared" ref="AH3:AH10" si="4">AF3+AG3</f>
        <v>126200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6292.6100000000006</v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4879.43</v>
      </c>
      <c r="R14" s="1" t="str">
        <f>IF(Mayo!R33&gt;0,Mayo!R33,"")</f>
        <v/>
      </c>
      <c r="S14" s="1">
        <f>IF(Mayo!S33&gt;0,Mayo!S33,"")</f>
        <v>3261.5</v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494.09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3142.62</v>
      </c>
      <c r="AA14" s="1">
        <f>IF(Mayo!AA33&gt;0,Mayo!AA33,"")</f>
        <v>80702.080000000002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3707.3899999999994</v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15120.57</v>
      </c>
      <c r="R25" s="1" t="str">
        <f>IF(ISNUMBER(Mayo!R33),R3-Mayo!R33,"")</f>
        <v/>
      </c>
      <c r="S25" s="1">
        <f>IF(ISNUMBER(Mayo!S33),S3-Mayo!S33,"")</f>
        <v>1738.5</v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1005.9100000000001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857.38000000000011</v>
      </c>
      <c r="AA25" s="10">
        <f t="shared" ref="AA25:AA33" si="6">SUMIF(B25:Z25,"&lt;&gt;"&amp;"")</f>
        <v>23947.919999999998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3707.3899999999994</v>
      </c>
      <c r="O33" s="10">
        <f t="shared" si="7"/>
        <v>0</v>
      </c>
      <c r="P33" s="10">
        <f t="shared" si="7"/>
        <v>0</v>
      </c>
      <c r="Q33" s="10">
        <f t="shared" si="7"/>
        <v>15120.57</v>
      </c>
      <c r="R33" s="10">
        <f t="shared" si="7"/>
        <v>0</v>
      </c>
      <c r="S33" s="10">
        <f t="shared" si="7"/>
        <v>1738.5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1005.9100000000001</v>
      </c>
      <c r="X33" s="10">
        <f t="shared" si="7"/>
        <v>0</v>
      </c>
      <c r="Y33" s="10">
        <f t="shared" si="7"/>
        <v>0</v>
      </c>
      <c r="Z33" s="10">
        <f t="shared" si="7"/>
        <v>857.38000000000011</v>
      </c>
      <c r="AA33" s="10">
        <f t="shared" si="6"/>
        <v>23947.919999999998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L1" zoomScaleNormal="100" workbookViewId="0">
      <selection activeCell="N9" sqref="N9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14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/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3838.5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6292.6100000000006</v>
      </c>
      <c r="O33" s="10" t="str">
        <f t="shared" si="1"/>
        <v/>
      </c>
      <c r="P33" s="10" t="str">
        <f t="shared" si="1"/>
        <v/>
      </c>
      <c r="Q33" s="10">
        <f t="shared" si="1"/>
        <v>4879.43</v>
      </c>
      <c r="R33" s="10" t="str">
        <f t="shared" si="1"/>
        <v/>
      </c>
      <c r="S33" s="10">
        <f t="shared" si="1"/>
        <v>3261.5</v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494.09</v>
      </c>
      <c r="X33" s="10" t="str">
        <f t="shared" si="1"/>
        <v/>
      </c>
      <c r="Y33" s="10" t="str">
        <f t="shared" si="1"/>
        <v/>
      </c>
      <c r="Z33" s="10">
        <f t="shared" si="1"/>
        <v>3142.62</v>
      </c>
      <c r="AA33" s="10">
        <f t="shared" si="1"/>
        <v>80702.080000000002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2026-05-11T12:29:25Z</dcterms:modified>
  <dc:language>en-US</dc:language>
</cp:coreProperties>
</file>