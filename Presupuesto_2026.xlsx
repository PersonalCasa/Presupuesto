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6EA6A7EA-E09E-48FA-B30A-8098071A3AE8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6" i="3" l="1"/>
  <c r="S16" i="3"/>
  <c r="Y14" i="3"/>
  <c r="R13" i="3"/>
  <c r="R15" i="3"/>
  <c r="AB15" i="3"/>
  <c r="AC13" i="3"/>
  <c r="AB12" i="3"/>
  <c r="R11" i="3"/>
  <c r="S11" i="3"/>
  <c r="AA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C15" i="1" s="1"/>
  <c r="AA32" i="3"/>
  <c r="AA15" i="1" s="1"/>
  <c r="Z32" i="3"/>
  <c r="Y32" i="3"/>
  <c r="Y26" i="1" s="1"/>
  <c r="X32" i="3"/>
  <c r="X15" i="1" s="1"/>
  <c r="W32" i="3"/>
  <c r="V32" i="3"/>
  <c r="U32" i="3"/>
  <c r="T32" i="3"/>
  <c r="S32" i="3"/>
  <c r="S26" i="1" s="1"/>
  <c r="Q32" i="3"/>
  <c r="P32" i="3"/>
  <c r="P26" i="1" s="1"/>
  <c r="O32" i="3"/>
  <c r="N32" i="3"/>
  <c r="M32" i="3"/>
  <c r="M26" i="1" s="1"/>
  <c r="J32" i="3"/>
  <c r="J26" i="1" s="1"/>
  <c r="I32" i="3"/>
  <c r="G32" i="3"/>
  <c r="G15" i="1" s="1"/>
  <c r="F32" i="3"/>
  <c r="E32" i="3"/>
  <c r="D32" i="3"/>
  <c r="D26" i="1" s="1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W26" i="1"/>
  <c r="V26" i="1"/>
  <c r="U26" i="1"/>
  <c r="T26" i="1"/>
  <c r="Q26" i="1"/>
  <c r="O26" i="1"/>
  <c r="N26" i="1"/>
  <c r="I26" i="1"/>
  <c r="G26" i="1"/>
  <c r="F26" i="1"/>
  <c r="E26" i="1"/>
  <c r="C26" i="1"/>
  <c r="B26" i="1"/>
  <c r="Z25" i="1"/>
  <c r="Z33" i="1" s="1"/>
  <c r="X25" i="1"/>
  <c r="W25" i="1"/>
  <c r="W33" i="1" s="1"/>
  <c r="V25" i="1"/>
  <c r="V33" i="1" s="1"/>
  <c r="T25" i="1"/>
  <c r="T33" i="1" s="1"/>
  <c r="S25" i="1"/>
  <c r="P25" i="1"/>
  <c r="N25" i="1"/>
  <c r="N33" i="1" s="1"/>
  <c r="M25" i="1"/>
  <c r="L25" i="1"/>
  <c r="K25" i="1"/>
  <c r="J25" i="1"/>
  <c r="I25" i="1"/>
  <c r="I33" i="1" s="1"/>
  <c r="G25" i="1"/>
  <c r="F25" i="1"/>
  <c r="E25" i="1"/>
  <c r="E33" i="1" s="1"/>
  <c r="D25" i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Z15" i="1"/>
  <c r="W15" i="1"/>
  <c r="V15" i="1"/>
  <c r="U15" i="1"/>
  <c r="T15" i="1"/>
  <c r="S15" i="1"/>
  <c r="Q15" i="1"/>
  <c r="P15" i="1"/>
  <c r="O15" i="1"/>
  <c r="N15" i="1"/>
  <c r="M15" i="1"/>
  <c r="I15" i="1"/>
  <c r="F15" i="1"/>
  <c r="E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S33" i="1" l="1"/>
  <c r="Y15" i="1"/>
  <c r="X26" i="1"/>
  <c r="X33" i="1" s="1"/>
  <c r="R32" i="3"/>
  <c r="R26" i="1" s="1"/>
  <c r="M33" i="1"/>
  <c r="AH9" i="1"/>
  <c r="AJ9" i="1" s="1"/>
  <c r="AC28" i="1"/>
  <c r="F33" i="1"/>
  <c r="G33" i="1"/>
  <c r="AA26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O14" i="1"/>
  <c r="O25" i="1"/>
  <c r="O33" i="1" s="1"/>
  <c r="AH8" i="1"/>
  <c r="AI8" i="1"/>
  <c r="AI7" i="1"/>
  <c r="AH7" i="1"/>
  <c r="H25" i="1"/>
  <c r="H33" i="1" s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AJ4" i="1" s="1"/>
  <c r="M38" i="1"/>
  <c r="N38" i="1"/>
  <c r="AC7" i="2"/>
  <c r="AC33" i="2" s="1"/>
  <c r="L39" i="1"/>
  <c r="R15" i="1" l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<sst xmlns="http://schemas.openxmlformats.org/spreadsheetml/2006/main" count="402" uniqueCount="79">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</sst>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abSelected="1" topLeftCell="N13" zoomScaleNormal="100" workbookViewId="0">
      <selection activeCell="AB29" sqref="AB2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16741.82</v>
      </c>
      <c r="S15" s="1">
        <f>IF(Junio!S32&gt;0,Junio!S32,"")</f>
        <v>1378.1999999999998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719.51</v>
      </c>
      <c r="Z15" s="1" t="str">
        <f>IF(Junio!Z32&gt;0,Junio!Z32,"")</f>
        <v/>
      </c>
      <c r="AA15" s="1">
        <f>IF(Junio!AA32&gt;0,Junio!AA32,"")</f>
        <v>16845.239999999998</v>
      </c>
      <c r="AC15" s="1">
        <f>IF(Junio!AB32&gt;0,Junio!AB32,"")</f>
        <v>3738.28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3258.1800000000003</v>
      </c>
      <c r="S26" s="1">
        <f>IF(ISNUMBER(Junio!S32),S4-Junio!S32,"")</f>
        <v>1121.8000000000002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1280.49</v>
      </c>
      <c r="Z26" s="1" t="str">
        <f>IF(ISNUMBER(Junio!Z32),Z4-Junio!Z32,"")</f>
        <v/>
      </c>
      <c r="AA26" s="1">
        <f>IF(ISNUMBER(Junio!AA32),AA4-Junio!AA32,"")</f>
        <v>-11845.239999999998</v>
      </c>
      <c r="AC26" s="12">
        <f t="shared" si="7"/>
        <v>-8789.0899999999965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3638.9699999999975</v>
      </c>
      <c r="S33" s="12">
        <f t="shared" si="8"/>
        <v>2810.8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1500.16</v>
      </c>
      <c r="Z33" s="12">
        <f t="shared" si="8"/>
        <v>0</v>
      </c>
      <c r="AA33" s="12">
        <f t="shared" si="8"/>
        <v>-11550.809999999998</v>
      </c>
      <c r="AC33" s="12">
        <f t="shared" si="7"/>
        <v>3377.8799999999974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opLeftCell="P1" zoomScaleNormal="100" workbookViewId="0">
      <selection activeCell="R17" sqref="R1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  <col min="30" max="30" width="28.7109375" bestFit="1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>
        <f>7700+4290-70.33</f>
        <v>11919.67</v>
      </c>
      <c r="AB10" s="36"/>
      <c r="AC10" s="35">
        <f t="shared" si="0"/>
        <v>22182.57</v>
      </c>
      <c r="AD10" s="35" t="s">
        <v>76</v>
      </c>
    </row>
    <row r="11" spans="1:30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29102.05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>
        <f>990-16.23</f>
        <v>973.77</v>
      </c>
      <c r="AC12" s="35">
        <f t="shared" si="0"/>
        <v>21668.69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1533.24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6">
        <v>500</v>
      </c>
      <c r="AC14" s="35">
        <f t="shared" si="0"/>
        <v>244.51</v>
      </c>
      <c r="AD14" s="35" t="s">
        <v>77</v>
      </c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6">
        <f>1515-24+84+701-11.49</f>
        <v>2264.5100000000002</v>
      </c>
      <c r="AC15" s="35">
        <f t="shared" si="0"/>
        <v>1363.1799999999998</v>
      </c>
      <c r="AD15" s="35" t="s">
        <v>78</v>
      </c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3400.52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26054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16741.82</v>
      </c>
      <c r="S32" s="12">
        <f t="shared" si="1"/>
        <v>1378.1999999999998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719.51</v>
      </c>
      <c r="Z32" s="12" t="str">
        <f t="shared" si="1"/>
        <v/>
      </c>
      <c r="AA32" s="12">
        <f t="shared" si="1"/>
        <v>16845.239999999998</v>
      </c>
      <c r="AB32" s="38">
        <f t="shared" si="1"/>
        <v>3738.28</v>
      </c>
      <c r="AC32" s="12">
        <f t="shared" si="1"/>
        <v>131889.09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2026-06-16T09:33:17Z</dcterms:modified>
  <dc:language>en-US</dc:language>
</cp:coreProperties>
</file>