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73DD0E1A-12CF-4B47-A791-AB611CF76D59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30" i="2" l="1"/>
  <c r="Q29" i="2"/>
  <c r="Q28" i="2"/>
  <c r="X27" i="2"/>
  <c r="Q27" i="2"/>
  <c r="Q26" i="2"/>
  <c r="Q25" i="2"/>
  <c r="V25" i="2"/>
  <c r="Z25" i="2"/>
  <c r="Y4" i="1"/>
  <c r="Q23" i="2"/>
  <c r="Q22" i="2"/>
  <c r="Q21" i="2"/>
  <c r="Z20" i="2"/>
  <c r="Q20" i="2"/>
  <c r="Q33" i="2" s="1"/>
  <c r="Q19" i="2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AA28" i="1" l="1"/>
  <c r="AA27" i="1"/>
  <c r="T33" i="2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<sst xmlns="http://schemas.openxmlformats.org/spreadsheetml/2006/main" count="375" uniqueCount="70">
  <si>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</si>
  <si>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</si>
  <si>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</si>
  <si>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</si>
  <si>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</si>
  <si>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</si>
  <si>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</si>
  <si>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</si>
  <si>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</si>
  <si>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</si>
  <si>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</si>
  <si>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</si>
  <si>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</si>
  <si>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</si>
  <si>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</si>
  <si>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</si>
  <si>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</si>
  <si>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</si>
  <si>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</si>
  <si>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</si>
  <si>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</si>
  <si>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</si>
  <si>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</si>
  <si>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</si>
  <si>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</si>
  <si>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</si>
  <si>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</si>
  <si>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</si>
  <si>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</si>
  <si>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</si>
  <si>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</si>
  <si>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</si>
  <si>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</si>
  <si>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</si>
  <si>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</si>
  <si>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</si>
  <si>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</si>
  <si>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</si>
  <si>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</si>
  <si>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</si>
  <si>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</si>
  <si>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</si>
  <si>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</si>
  <si>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</si>
  <si>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</si>
  <si>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</si>
  <si>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</si>
  <si>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</si>
  <si>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</si>
  <si>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</si>
  <si>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</si>
  <si>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</si>
  <si>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</si>
  <si>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</si>
  <si>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</si>
  <si>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</si>
  <si>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</si>
  <si>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</si>
  <si>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</si>
  <si>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</si>
  <si>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</si>
  <si>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</si>
  <si>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</si>
  <si>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</si>
  <si>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</si>
  <si>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</si>
  <si>
    <t>Gas y calefaccion</t>
  </si>
  <si>
    <t>Gas y calefacción</t>
  </si>
  <si>
    <t>China City</t>
  </si>
  <si>
    <t>Pantalones Roci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</si>
</sst>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abSelected="1" topLeftCell="R1" zoomScaleNormal="100" workbookViewId="0">
      <selection activeCell="AG4" sqref="AG4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5.85546875" style="1" bestFit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67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500</v>
      </c>
      <c r="Z3" s="1">
        <v>5000</v>
      </c>
      <c r="AA3" s="1">
        <f t="shared" ref="AA3:AA10" si="0">SUM(B3:Z3)</f>
        <v>170650</v>
      </c>
      <c r="AB3" s="5">
        <f t="shared" ref="AB3:AB10" si="1">+AA3/2</f>
        <v>85325</v>
      </c>
      <c r="AC3" s="1">
        <v>10000</v>
      </c>
      <c r="AD3" s="5">
        <f t="shared" ref="AD3:AD10" si="2">+AE3-AB3-AC3</f>
        <v>-325</v>
      </c>
      <c r="AE3" s="1">
        <v>95000</v>
      </c>
      <c r="AF3" s="6">
        <f>AA3/2-L3</f>
        <v>63125</v>
      </c>
      <c r="AG3" s="7">
        <f t="shared" ref="AG3:AG10" si="3">AA3/2-D3</f>
        <v>69825</v>
      </c>
      <c r="AH3" s="8">
        <f t="shared" ref="AH3:AH10" si="4">AF3+AG3</f>
        <v>132950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10000</v>
      </c>
      <c r="L4" s="1">
        <v>8000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f>1350+2500</f>
        <v>3850</v>
      </c>
      <c r="Z4" s="1">
        <v>5000</v>
      </c>
      <c r="AA4" s="1">
        <f t="shared" si="0"/>
        <v>146100</v>
      </c>
      <c r="AB4" s="5">
        <f t="shared" si="1"/>
        <v>73050</v>
      </c>
      <c r="AC4" s="1">
        <v>10000</v>
      </c>
      <c r="AD4" s="5">
        <f t="shared" si="2"/>
        <v>11950</v>
      </c>
      <c r="AE4" s="1">
        <v>95000</v>
      </c>
      <c r="AF4" s="6">
        <f t="shared" ref="AF4:AF10" si="5">AA4/2-L4</f>
        <v>65050</v>
      </c>
      <c r="AG4" s="7">
        <f t="shared" si="3"/>
        <v>57550</v>
      </c>
      <c r="AH4" s="8">
        <f t="shared" si="4"/>
        <v>122600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M5" s="1">
        <v>850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Z5" s="1">
        <v>5000</v>
      </c>
      <c r="AA5" s="1">
        <f t="shared" si="0"/>
        <v>135719</v>
      </c>
      <c r="AB5" s="5">
        <f t="shared" si="1"/>
        <v>67859.5</v>
      </c>
      <c r="AC5" s="1">
        <v>10000</v>
      </c>
      <c r="AD5" s="5">
        <f t="shared" si="2"/>
        <v>17140.5</v>
      </c>
      <c r="AE5" s="1">
        <v>95000</v>
      </c>
      <c r="AF5" s="6">
        <f t="shared" si="5"/>
        <v>60359.5</v>
      </c>
      <c r="AG5" s="7">
        <f t="shared" si="3"/>
        <v>52359.5</v>
      </c>
      <c r="AH5" s="8">
        <f t="shared" si="4"/>
        <v>112719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M6" s="1">
        <v>850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Z6" s="1">
        <v>5000</v>
      </c>
      <c r="AA6" s="1">
        <f t="shared" si="0"/>
        <v>129850</v>
      </c>
      <c r="AB6" s="5">
        <f t="shared" si="1"/>
        <v>64925</v>
      </c>
      <c r="AC6" s="1">
        <v>10000</v>
      </c>
      <c r="AD6" s="5">
        <f t="shared" si="2"/>
        <v>20075</v>
      </c>
      <c r="AE6" s="1">
        <v>95000</v>
      </c>
      <c r="AF6" s="6">
        <f t="shared" si="5"/>
        <v>57425</v>
      </c>
      <c r="AG6" s="7">
        <f t="shared" si="3"/>
        <v>49425</v>
      </c>
      <c r="AH6" s="8">
        <f t="shared" si="4"/>
        <v>106850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M7" s="1">
        <v>850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1350</v>
      </c>
      <c r="Z7" s="1">
        <v>5000</v>
      </c>
      <c r="AA7" s="1">
        <f t="shared" si="0"/>
        <v>160569</v>
      </c>
      <c r="AB7" s="5">
        <f t="shared" si="1"/>
        <v>80284.5</v>
      </c>
      <c r="AC7" s="1">
        <v>10000</v>
      </c>
      <c r="AD7" s="5">
        <f t="shared" si="2"/>
        <v>4715.5</v>
      </c>
      <c r="AE7" s="1">
        <v>95000</v>
      </c>
      <c r="AF7" s="6">
        <f t="shared" si="5"/>
        <v>72784.5</v>
      </c>
      <c r="AG7" s="7">
        <f t="shared" si="3"/>
        <v>64784.5</v>
      </c>
      <c r="AH7" s="8">
        <f t="shared" si="4"/>
        <v>137569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M8" s="1">
        <v>850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Z8" s="1">
        <v>5000</v>
      </c>
      <c r="AA8" s="1">
        <f t="shared" si="0"/>
        <v>145150</v>
      </c>
      <c r="AB8" s="5">
        <f t="shared" si="1"/>
        <v>72575</v>
      </c>
      <c r="AC8" s="1">
        <v>10000</v>
      </c>
      <c r="AD8" s="5">
        <f t="shared" si="2"/>
        <v>12425</v>
      </c>
      <c r="AE8" s="1">
        <v>95000</v>
      </c>
      <c r="AF8" s="6">
        <f t="shared" si="5"/>
        <v>65075</v>
      </c>
      <c r="AG8" s="7">
        <f t="shared" si="3"/>
        <v>57075</v>
      </c>
      <c r="AH8" s="8">
        <f t="shared" si="4"/>
        <v>122150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M9" s="1">
        <v>850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Z9" s="1">
        <v>5000</v>
      </c>
      <c r="AA9" s="1">
        <f t="shared" si="0"/>
        <v>136019</v>
      </c>
      <c r="AB9" s="5">
        <f t="shared" si="1"/>
        <v>68009.5</v>
      </c>
      <c r="AC9" s="1">
        <v>10000</v>
      </c>
      <c r="AD9" s="5">
        <f t="shared" si="2"/>
        <v>16990.5</v>
      </c>
      <c r="AE9" s="1">
        <v>95000</v>
      </c>
      <c r="AF9" s="6">
        <f t="shared" si="5"/>
        <v>60509.5</v>
      </c>
      <c r="AG9" s="7">
        <f t="shared" si="3"/>
        <v>52509.5</v>
      </c>
      <c r="AH9" s="8">
        <f t="shared" si="4"/>
        <v>113019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M10" s="1">
        <v>850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1350</v>
      </c>
      <c r="Z10" s="1">
        <v>5000</v>
      </c>
      <c r="AA10" s="1">
        <f t="shared" si="0"/>
        <v>151900</v>
      </c>
      <c r="AB10" s="5">
        <f t="shared" si="1"/>
        <v>75950</v>
      </c>
      <c r="AC10" s="1">
        <v>10000</v>
      </c>
      <c r="AD10" s="5">
        <f t="shared" si="2"/>
        <v>9050</v>
      </c>
      <c r="AE10" s="1">
        <v>95000</v>
      </c>
      <c r="AF10" s="6">
        <f t="shared" si="5"/>
        <v>68450</v>
      </c>
      <c r="AG10" s="7">
        <f t="shared" si="3"/>
        <v>60450</v>
      </c>
      <c r="AH10" s="8">
        <f t="shared" si="4"/>
        <v>128900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67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>
        <f>IF(Mayo!L33&gt;0,Mayo!L33,"")</f>
        <v>22127.68</v>
      </c>
      <c r="M14" s="1">
        <f>IF(Mayo!M33&gt;0,Mayo!M33,"")</f>
        <v>810</v>
      </c>
      <c r="N14" s="1">
        <f>IF(Mayo!N33&gt;0,Mayo!N33,"")</f>
        <v>8780.76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19619.210000000003</v>
      </c>
      <c r="R14" s="1">
        <f>IF(Mayo!R33&gt;0,Mayo!R33,"")</f>
        <v>150</v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1268.8600000000001</v>
      </c>
      <c r="W14" s="1">
        <f>IF(Mayo!W33&gt;0,Mayo!W33,"")</f>
        <v>709.08999999999992</v>
      </c>
      <c r="X14" s="1">
        <f>IF(Mayo!X33&gt;0,Mayo!X33,"")</f>
        <v>1780.33</v>
      </c>
      <c r="Y14" s="1">
        <f>IF(Mayo!Y33&gt;0,Mayo!Y33,"")</f>
        <v>500</v>
      </c>
      <c r="Z14" s="1">
        <f>IF(Mayo!Z33&gt;0,Mayo!Z33,"")</f>
        <v>4705.57</v>
      </c>
      <c r="AA14" s="1">
        <f>IF(Mayo!AA33&gt;0,Mayo!AA33,"")</f>
        <v>157822.02999999997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67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>
        <f>IF(ISNUMBER(Mayo!L33),L3-Mayo!L33,"")</f>
        <v>72.319999999999709</v>
      </c>
      <c r="M25" s="1">
        <f>IF(ISNUMBER(Mayo!M33),M3-Mayo!M33,"")</f>
        <v>40</v>
      </c>
      <c r="N25" s="1">
        <f>IF(ISNUMBER(Mayo!N33),N3-Mayo!N33,"")</f>
        <v>1219.2399999999998</v>
      </c>
      <c r="O25" s="1">
        <f>IF(ISNUMBER(Mayo!O33),O3-Mayo!O33,"")</f>
        <v>1800</v>
      </c>
      <c r="P25" s="1">
        <f>IF(ISNUMBER(Mayo!P33),P3-Mayo!P33,"")</f>
        <v>50.820000000000164</v>
      </c>
      <c r="Q25" s="1">
        <f>IF(ISNUMBER(Mayo!Q33),Q3-Mayo!Q33,"")</f>
        <v>380.78999999999724</v>
      </c>
      <c r="R25" s="1">
        <f>IF(ISNUMBER(Mayo!R33),R3-Mayo!R33,"")</f>
        <v>2350</v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1731.1399999999999</v>
      </c>
      <c r="W25" s="1">
        <f>IF(ISNUMBER(Mayo!W33),W3-Mayo!W33,"")</f>
        <v>790.91000000000008</v>
      </c>
      <c r="X25" s="1">
        <f>IF(ISNUMBER(Mayo!X33),X3-Mayo!X33,"")</f>
        <v>219.67000000000007</v>
      </c>
      <c r="Y25" s="1">
        <f>IF(ISNUMBER(Mayo!Y33),Y3-Mayo!Y33,"")</f>
        <v>0</v>
      </c>
      <c r="Z25" s="1">
        <f>IF(ISNUMBER(Mayo!Z33),Z3-Mayo!Z33,"")</f>
        <v>294.43000000000029</v>
      </c>
      <c r="AA25" s="10">
        <f t="shared" ref="AA25:AA33" si="6">SUMIF(B25:Z25,"&lt;&gt;"&amp;"")</f>
        <v>12827.969999999994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72.319999999999709</v>
      </c>
      <c r="M33" s="10">
        <f t="shared" si="7"/>
        <v>40</v>
      </c>
      <c r="N33" s="10">
        <f t="shared" si="7"/>
        <v>1219.2399999999998</v>
      </c>
      <c r="O33" s="10">
        <f t="shared" si="7"/>
        <v>1800</v>
      </c>
      <c r="P33" s="10">
        <f t="shared" si="7"/>
        <v>50.820000000000164</v>
      </c>
      <c r="Q33" s="10">
        <f t="shared" si="7"/>
        <v>380.78999999999724</v>
      </c>
      <c r="R33" s="10">
        <f t="shared" si="7"/>
        <v>2350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1731.1399999999999</v>
      </c>
      <c r="W33" s="10">
        <f t="shared" si="7"/>
        <v>790.91000000000008</v>
      </c>
      <c r="X33" s="10">
        <f t="shared" si="7"/>
        <v>219.67000000000007</v>
      </c>
      <c r="Y33" s="10">
        <f t="shared" si="7"/>
        <v>0</v>
      </c>
      <c r="Z33" s="10">
        <f t="shared" si="7"/>
        <v>294.43000000000029</v>
      </c>
      <c r="AA33" s="10">
        <f t="shared" si="6"/>
        <v>12827.969999999994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opLeftCell="I17" zoomScaleNormal="100" workbookViewId="0">
      <selection activeCell="Q30" sqref="Q30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2.425781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66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>
        <f>106-1.74</f>
        <v>104.26</v>
      </c>
      <c r="R20" s="14"/>
      <c r="S20" s="14"/>
      <c r="T20" s="14"/>
      <c r="U20" s="14"/>
      <c r="V20" s="14"/>
      <c r="W20" s="14"/>
      <c r="X20" s="14"/>
      <c r="Y20" s="14"/>
      <c r="Z20" s="14">
        <f>234+515-8.44-3.84</f>
        <v>736.71999999999991</v>
      </c>
      <c r="AA20" s="14">
        <f t="shared" si="0"/>
        <v>840.9799999999999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>
        <f>858+498-15.6-8.92+136-2.23</f>
        <v>1465.25</v>
      </c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1465.25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>
        <v>22127.68</v>
      </c>
      <c r="M22" s="14"/>
      <c r="N22" s="14"/>
      <c r="O22" s="14"/>
      <c r="P22" s="14"/>
      <c r="Q22" s="14">
        <f>524+414-8.59-7.21</f>
        <v>922.19999999999993</v>
      </c>
      <c r="R22" s="14"/>
      <c r="S22" s="14"/>
      <c r="T22" s="14"/>
      <c r="U22" s="14"/>
      <c r="V22" s="14"/>
      <c r="W22" s="14"/>
      <c r="X22" s="14"/>
      <c r="Y22" s="14">
        <v>500</v>
      </c>
      <c r="Z22" s="14"/>
      <c r="AA22" s="14">
        <f t="shared" si="0"/>
        <v>23549.88</v>
      </c>
      <c r="AB22" s="14" t="s">
        <v>65</v>
      </c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>
        <f>932.73+320.86-16.96-5.83</f>
        <v>1230.8000000000002</v>
      </c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1230.8000000000002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>
        <v>3631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3631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>
        <v>-544.65</v>
      </c>
      <c r="O25" s="14"/>
      <c r="P25" s="14"/>
      <c r="Q25" s="14">
        <f>862-12.46+474-7.77</f>
        <v>1315.77</v>
      </c>
      <c r="R25" s="14"/>
      <c r="S25" s="14"/>
      <c r="T25" s="14"/>
      <c r="U25" s="14"/>
      <c r="V25" s="14">
        <f>1000-16.39</f>
        <v>983.61</v>
      </c>
      <c r="W25" s="14"/>
      <c r="X25" s="14"/>
      <c r="Y25" s="14"/>
      <c r="Z25" s="14">
        <f>840-13.77</f>
        <v>826.23</v>
      </c>
      <c r="AA25" s="14">
        <f t="shared" si="0"/>
        <v>2580.96</v>
      </c>
      <c r="AB25" s="14" t="s">
        <v>68</v>
      </c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>
        <f>606-13.14</f>
        <v>592.86</v>
      </c>
      <c r="R26" s="14">
        <v>150</v>
      </c>
      <c r="S26" s="14"/>
      <c r="T26" s="14"/>
      <c r="U26" s="14"/>
      <c r="V26" s="14"/>
      <c r="W26" s="14"/>
      <c r="X26" s="14"/>
      <c r="Y26" s="14"/>
      <c r="Z26" s="14"/>
      <c r="AA26" s="14">
        <f t="shared" si="0"/>
        <v>742.86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>
        <f>759-12.98</f>
        <v>746.02</v>
      </c>
      <c r="R27" s="14"/>
      <c r="S27" s="14"/>
      <c r="T27" s="14"/>
      <c r="U27" s="14"/>
      <c r="V27" s="14"/>
      <c r="W27" s="14"/>
      <c r="X27" s="14">
        <f>1810-29.67</f>
        <v>1780.33</v>
      </c>
      <c r="Y27" s="14"/>
      <c r="Z27" s="14"/>
      <c r="AA27" s="14">
        <f t="shared" si="0"/>
        <v>2526.35</v>
      </c>
      <c r="AB27" s="14" t="s">
        <v>69</v>
      </c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>
        <f>662-10.86</f>
        <v>651.14</v>
      </c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651.14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>
        <f>444-6.38+248-4.07</f>
        <v>681.55</v>
      </c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681.55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>
        <f>671.07-12.2+545-8.94</f>
        <v>1194.9299999999998</v>
      </c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1194.9299999999998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>
        <v>0</v>
      </c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>
        <f t="shared" si="1"/>
        <v>22127.68</v>
      </c>
      <c r="M33" s="10">
        <f t="shared" si="1"/>
        <v>810</v>
      </c>
      <c r="N33" s="10">
        <f t="shared" si="1"/>
        <v>8780.76</v>
      </c>
      <c r="O33" s="10">
        <f t="shared" si="1"/>
        <v>0</v>
      </c>
      <c r="P33" s="10">
        <f t="shared" si="1"/>
        <v>2449.1799999999998</v>
      </c>
      <c r="Q33" s="10">
        <f t="shared" si="1"/>
        <v>19619.210000000003</v>
      </c>
      <c r="R33" s="10">
        <f t="shared" si="1"/>
        <v>150</v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1268.8600000000001</v>
      </c>
      <c r="W33" s="10">
        <f t="shared" si="1"/>
        <v>709.08999999999992</v>
      </c>
      <c r="X33" s="10">
        <f t="shared" si="1"/>
        <v>1780.33</v>
      </c>
      <c r="Y33" s="10">
        <f t="shared" si="1"/>
        <v>500</v>
      </c>
      <c r="Z33" s="10">
        <f t="shared" si="1"/>
        <v>4705.57</v>
      </c>
      <c r="AA33" s="10">
        <f t="shared" si="1"/>
        <v>157822.02999999997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2026-05-30T10:18:41Z</dcterms:modified>
  <dc:language>en-US</dc:language>
</cp:coreProperties>
</file>