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8_{A4FF693C-FE01-4724-8304-5E2C05CD45CC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33" i="9" l="1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10" i="8"/>
  <c r="AA9" i="8"/>
  <c r="AA8" i="8"/>
  <c r="AA7" i="8"/>
  <c r="AA6" i="8"/>
  <c r="AA5" i="8"/>
  <c r="AA4" i="8"/>
  <c r="AA3" i="8"/>
  <c r="AA2" i="8"/>
  <c r="AA32" i="8" s="1"/>
  <c r="AA20" i="1" s="1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33" i="7" s="1"/>
  <c r="AA19" i="1" s="1"/>
  <c r="AA10" i="7"/>
  <c r="AA9" i="7"/>
  <c r="AA8" i="7"/>
  <c r="AA7" i="7"/>
  <c r="AA6" i="7"/>
  <c r="AA5" i="7"/>
  <c r="AA4" i="7"/>
  <c r="AA3" i="7"/>
  <c r="AA2" i="7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E18" i="1" s="1"/>
  <c r="D32" i="6"/>
  <c r="D18" i="1" s="1"/>
  <c r="C32" i="6"/>
  <c r="C18" i="1" s="1"/>
  <c r="B32" i="6"/>
  <c r="B18" i="1" s="1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AA32" i="6" s="1"/>
  <c r="AA18" i="1" s="1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33" i="4" s="1"/>
  <c r="AA16" i="1" s="1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2" i="1" s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1" i="1" s="1"/>
  <c r="Z30" i="1"/>
  <c r="Y30" i="1"/>
  <c r="X30" i="1"/>
  <c r="W30" i="1"/>
  <c r="V30" i="1"/>
  <c r="U30" i="1"/>
  <c r="T30" i="1"/>
  <c r="S30" i="1"/>
  <c r="R30" i="1"/>
  <c r="Q30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9" i="1" s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26" i="1" s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A10" i="1"/>
  <c r="AA9" i="1"/>
  <c r="AA8" i="1"/>
  <c r="AA7" i="1"/>
  <c r="AA6" i="1"/>
  <c r="AA5" i="1"/>
  <c r="AA4" i="1"/>
  <c r="AA3" i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3" i="2" l="1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O14" i="1"/>
  <c r="O25" i="1"/>
  <c r="N14" i="1"/>
  <c r="N25" i="1"/>
  <c r="M14" i="1"/>
  <c r="M25" i="1"/>
  <c r="L14" i="1"/>
  <c r="L25" i="1"/>
  <c r="K14" i="1"/>
  <c r="K25" i="1"/>
  <c r="J14" i="1"/>
  <c r="J25" i="1"/>
  <c r="I14" i="1"/>
  <c r="I25" i="1"/>
  <c r="H14" i="1"/>
  <c r="H25" i="1"/>
  <c r="G14" i="1"/>
  <c r="G25" i="1"/>
  <c r="F14" i="1"/>
  <c r="F25" i="1"/>
  <c r="E14" i="1"/>
  <c r="E25" i="1"/>
  <c r="D14" i="1"/>
  <c r="D25" i="1"/>
  <c r="C14" i="1"/>
  <c r="C25" i="1"/>
  <c r="B14" i="1"/>
  <c r="B25" i="1"/>
  <c r="AA25" i="1" s="1"/>
  <c r="P19" i="1"/>
  <c r="P30" i="1"/>
  <c r="P33" i="1" s="1"/>
  <c r="O19" i="1"/>
  <c r="O30" i="1"/>
  <c r="O33" i="1" s="1"/>
  <c r="N30" i="1"/>
  <c r="N33" i="1" s="1"/>
  <c r="N19" i="1"/>
  <c r="M30" i="1"/>
  <c r="M33" i="1" s="1"/>
  <c r="M19" i="1"/>
  <c r="L30" i="1"/>
  <c r="L33" i="1" s="1"/>
  <c r="L19" i="1"/>
  <c r="K30" i="1"/>
  <c r="K33" i="1" s="1"/>
  <c r="K19" i="1"/>
  <c r="J30" i="1"/>
  <c r="J33" i="1" s="1"/>
  <c r="J19" i="1"/>
  <c r="I30" i="1"/>
  <c r="I33" i="1" s="1"/>
  <c r="I19" i="1"/>
  <c r="H30" i="1"/>
  <c r="H33" i="1" s="1"/>
  <c r="H19" i="1"/>
  <c r="G30" i="1"/>
  <c r="G33" i="1" s="1"/>
  <c r="G19" i="1"/>
  <c r="F30" i="1"/>
  <c r="F33" i="1" s="1"/>
  <c r="F19" i="1"/>
  <c r="E30" i="1"/>
  <c r="E33" i="1" s="1"/>
  <c r="E19" i="1"/>
  <c r="D30" i="1"/>
  <c r="D33" i="1" s="1"/>
  <c r="D19" i="1"/>
  <c r="C30" i="1"/>
  <c r="C33" i="1" s="1"/>
  <c r="C19" i="1"/>
  <c r="B30" i="1"/>
  <c r="B19" i="1"/>
  <c r="AG10" i="1"/>
  <c r="AF10" i="1"/>
  <c r="AB10" i="1"/>
  <c r="AD10" i="1" s="1"/>
  <c r="AF9" i="1"/>
  <c r="AH9" i="1" s="1"/>
  <c r="AB9" i="1"/>
  <c r="AD9" i="1" s="1"/>
  <c r="AG9" i="1"/>
  <c r="AF8" i="1"/>
  <c r="AH8" i="1" s="1"/>
  <c r="AB8" i="1"/>
  <c r="AD8" i="1" s="1"/>
  <c r="AG8" i="1"/>
  <c r="AG7" i="1"/>
  <c r="AF7" i="1"/>
  <c r="AB7" i="1"/>
  <c r="AD7" i="1" s="1"/>
  <c r="AG6" i="1"/>
  <c r="AF6" i="1"/>
  <c r="AH6" i="1" s="1"/>
  <c r="AB6" i="1"/>
  <c r="AD6" i="1" s="1"/>
  <c r="AG5" i="1"/>
  <c r="AF5" i="1"/>
  <c r="AH5" i="1" s="1"/>
  <c r="AB5" i="1"/>
  <c r="AD5" i="1" s="1"/>
  <c r="AB4" i="1"/>
  <c r="AD4" i="1" s="1"/>
  <c r="AG4" i="1"/>
  <c r="AF4" i="1"/>
  <c r="AH4" i="1" s="1"/>
  <c r="AB3" i="1"/>
  <c r="AD3" i="1" s="1"/>
  <c r="AF3" i="1"/>
  <c r="AG3" i="1"/>
  <c r="AH3" i="1" l="1"/>
  <c r="AH10" i="1"/>
  <c r="AH7" i="1"/>
  <c r="AA30" i="1"/>
  <c r="B33" i="1"/>
  <c r="AA33" i="1" s="1"/>
</calcChain>
</file>

<file path=xl/sharedStrings.xml><?xml version="1.0" encoding="utf-8"?>
<sst xmlns="http://schemas.openxmlformats.org/spreadsheetml/2006/main" count="348" uniqueCount="50">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</sst>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3"/>
  <sheetViews>
    <sheetView zoomScaleNormal="100" workbookViewId="0">
      <selection activeCell="L3" sqref="L3"/>
    </sheetView>
  </sheetViews>
  <sheetFormatPr baseColWidth="10" defaultColWidth="9.140625" defaultRowHeight="15" x14ac:dyDescent="0.25"/>
  <cols>
    <col min="1" max="1" width="11" style="4" customWidth="1"/>
    <col min="2" max="2" width="20.28515625" style="4" customWidth="1"/>
    <col min="3" max="3" width="8" style="4" customWidth="1"/>
    <col min="4" max="4" width="13.5703125" style="4" customWidth="1"/>
    <col min="5" max="9" width="9.140625" style="4"/>
    <col min="10" max="10" width="14" style="4" customWidth="1"/>
    <col min="11" max="11" width="11.7109375" style="4" customWidth="1"/>
    <col min="12" max="12" width="18.5703125" style="4" customWidth="1"/>
    <col min="13" max="13" width="10.42578125" style="4" customWidth="1"/>
    <col min="14" max="14" width="12.7109375" style="4" customWidth="1"/>
    <col min="15" max="15" width="11.140625" style="4" customWidth="1"/>
    <col min="16" max="19" width="9.140625" style="4"/>
    <col min="20" max="20" width="17.85546875" style="4" customWidth="1"/>
    <col min="21" max="21" width="10.5703125" style="4" customWidth="1"/>
    <col min="22" max="22" width="9.7109375" style="4" customWidth="1"/>
    <col min="23" max="23" width="15" style="4" customWidth="1"/>
    <col min="24" max="24" width="9.140625" style="4"/>
    <col min="25" max="25" width="13" style="4" customWidth="1"/>
    <col min="26" max="26" width="9.140625" style="4"/>
    <col min="27" max="27" width="12" style="4" customWidth="1"/>
    <col min="28" max="33" width="9.140625" style="4"/>
    <col min="34" max="34" width="9" style="4" bestFit="1" customWidth="1"/>
    <col min="35" max="16384" width="9.140625" style="4"/>
  </cols>
  <sheetData>
    <row r="1" spans="1:34" ht="1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34" ht="15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5" t="s">
        <v>32</v>
      </c>
      <c r="AG2" s="6" t="s">
        <v>33</v>
      </c>
      <c r="AH2" s="7" t="s">
        <v>49</v>
      </c>
    </row>
    <row r="3" spans="1:34" ht="15" customHeight="1" x14ac:dyDescent="0.25">
      <c r="A3" s="4" t="s">
        <v>34</v>
      </c>
      <c r="D3" s="4">
        <v>15500</v>
      </c>
      <c r="E3" s="4">
        <v>9500</v>
      </c>
      <c r="F3" s="4">
        <v>26000</v>
      </c>
      <c r="G3" s="4">
        <v>1000</v>
      </c>
      <c r="H3" s="4">
        <v>3500</v>
      </c>
      <c r="I3" s="4">
        <v>3000</v>
      </c>
      <c r="J3" s="4">
        <v>1000</v>
      </c>
      <c r="K3" s="4">
        <v>18000</v>
      </c>
      <c r="L3" s="4">
        <v>19000</v>
      </c>
      <c r="M3" s="4">
        <v>850</v>
      </c>
      <c r="N3" s="4">
        <v>10000</v>
      </c>
      <c r="O3" s="4">
        <v>1800</v>
      </c>
      <c r="P3" s="4">
        <v>2500</v>
      </c>
      <c r="Q3" s="4">
        <v>20000</v>
      </c>
      <c r="R3" s="4">
        <v>2500</v>
      </c>
      <c r="S3" s="4">
        <v>5000</v>
      </c>
      <c r="V3" s="4">
        <v>3000</v>
      </c>
      <c r="W3" s="4">
        <v>1500</v>
      </c>
      <c r="X3" s="4">
        <v>2000</v>
      </c>
      <c r="Y3" s="4">
        <v>750</v>
      </c>
      <c r="Z3" s="4">
        <v>4000</v>
      </c>
      <c r="AA3" s="4">
        <f t="shared" ref="AA3:AA10" si="0">SUM(B3:Z3)</f>
        <v>150400</v>
      </c>
      <c r="AB3" s="8">
        <f t="shared" ref="AB3:AB10" si="1">+AA3/2</f>
        <v>75200</v>
      </c>
      <c r="AC3" s="4">
        <v>10000</v>
      </c>
      <c r="AD3" s="8">
        <f t="shared" ref="AD3:AD10" si="2">+AE3-AB3-AC3</f>
        <v>9800</v>
      </c>
      <c r="AE3" s="4">
        <v>95000</v>
      </c>
      <c r="AF3" s="9">
        <f t="shared" ref="AF3:AF10" si="3">AA3/2-L3</f>
        <v>56200</v>
      </c>
      <c r="AG3" s="10">
        <f t="shared" ref="AG3:AG10" si="4">AA3/2-D3</f>
        <v>59700</v>
      </c>
      <c r="AH3" s="11">
        <f t="shared" ref="AH3:AH10" si="5">AF3+AG3</f>
        <v>115900</v>
      </c>
    </row>
    <row r="4" spans="1:34" ht="15" customHeight="1" x14ac:dyDescent="0.25">
      <c r="A4" s="4" t="s">
        <v>35</v>
      </c>
      <c r="D4" s="4">
        <v>15500</v>
      </c>
      <c r="E4" s="4">
        <v>9500</v>
      </c>
      <c r="F4" s="4">
        <v>35000</v>
      </c>
      <c r="G4" s="4">
        <v>1000</v>
      </c>
      <c r="H4" s="4">
        <v>3500</v>
      </c>
      <c r="I4" s="4">
        <v>3000</v>
      </c>
      <c r="J4" s="4">
        <v>1000</v>
      </c>
      <c r="K4" s="4">
        <v>7500</v>
      </c>
      <c r="L4" s="4">
        <v>7500</v>
      </c>
      <c r="M4" s="4">
        <v>850</v>
      </c>
      <c r="N4" s="4">
        <v>10000</v>
      </c>
      <c r="O4" s="4">
        <v>1800</v>
      </c>
      <c r="P4" s="4">
        <v>2500</v>
      </c>
      <c r="Q4" s="4">
        <v>20000</v>
      </c>
      <c r="R4" s="4">
        <v>2500</v>
      </c>
      <c r="S4" s="4">
        <v>5000</v>
      </c>
      <c r="T4" s="4">
        <v>9000</v>
      </c>
      <c r="V4" s="4">
        <v>3000</v>
      </c>
      <c r="W4" s="4">
        <v>1500</v>
      </c>
      <c r="X4" s="4">
        <v>2000</v>
      </c>
      <c r="Y4" s="4">
        <v>750</v>
      </c>
      <c r="Z4" s="4">
        <v>4000</v>
      </c>
      <c r="AA4" s="4">
        <f t="shared" si="0"/>
        <v>146400</v>
      </c>
      <c r="AB4" s="8">
        <f t="shared" si="1"/>
        <v>73200</v>
      </c>
      <c r="AC4" s="4">
        <v>10000</v>
      </c>
      <c r="AD4" s="8">
        <f t="shared" si="2"/>
        <v>11800</v>
      </c>
      <c r="AE4" s="4">
        <v>95000</v>
      </c>
      <c r="AF4" s="9">
        <f t="shared" si="3"/>
        <v>65700</v>
      </c>
      <c r="AG4" s="10">
        <f t="shared" si="4"/>
        <v>57700</v>
      </c>
      <c r="AH4" s="11">
        <f t="shared" si="5"/>
        <v>123400</v>
      </c>
    </row>
    <row r="5" spans="1:34" ht="15" customHeight="1" x14ac:dyDescent="0.25">
      <c r="A5" s="4" t="s">
        <v>36</v>
      </c>
      <c r="C5" s="4">
        <v>4369</v>
      </c>
      <c r="D5" s="4">
        <v>15500</v>
      </c>
      <c r="E5" s="4">
        <v>9500</v>
      </c>
      <c r="F5" s="4">
        <v>26000</v>
      </c>
      <c r="G5" s="4">
        <v>1000</v>
      </c>
      <c r="H5" s="4">
        <v>3500</v>
      </c>
      <c r="I5" s="4">
        <v>3000</v>
      </c>
      <c r="J5" s="4">
        <v>1000</v>
      </c>
      <c r="K5" s="4">
        <v>7500</v>
      </c>
      <c r="L5" s="4">
        <v>7500</v>
      </c>
      <c r="N5" s="4">
        <v>10000</v>
      </c>
      <c r="O5" s="4">
        <v>1800</v>
      </c>
      <c r="P5" s="4">
        <v>2500</v>
      </c>
      <c r="Q5" s="4">
        <v>20000</v>
      </c>
      <c r="R5" s="4">
        <v>2500</v>
      </c>
      <c r="S5" s="4">
        <v>5000</v>
      </c>
      <c r="U5" s="4">
        <v>1500</v>
      </c>
      <c r="V5" s="4">
        <v>3000</v>
      </c>
      <c r="W5" s="4">
        <v>1500</v>
      </c>
      <c r="X5" s="4">
        <v>2000</v>
      </c>
      <c r="Y5" s="4">
        <v>750</v>
      </c>
      <c r="Z5" s="4">
        <v>4000</v>
      </c>
      <c r="AA5" s="4">
        <f t="shared" si="0"/>
        <v>133419</v>
      </c>
      <c r="AB5" s="8">
        <f t="shared" si="1"/>
        <v>66709.5</v>
      </c>
      <c r="AC5" s="4">
        <v>10000</v>
      </c>
      <c r="AD5" s="8">
        <f t="shared" si="2"/>
        <v>18290.5</v>
      </c>
      <c r="AE5" s="4">
        <v>95000</v>
      </c>
      <c r="AF5" s="9">
        <f t="shared" si="3"/>
        <v>59209.5</v>
      </c>
      <c r="AG5" s="10">
        <f t="shared" si="4"/>
        <v>51209.5</v>
      </c>
      <c r="AH5" s="11">
        <f t="shared" si="5"/>
        <v>110419</v>
      </c>
    </row>
    <row r="6" spans="1:34" ht="15" customHeight="1" x14ac:dyDescent="0.25">
      <c r="A6" s="4" t="s">
        <v>37</v>
      </c>
      <c r="D6" s="4">
        <v>15500</v>
      </c>
      <c r="E6" s="4">
        <v>9500</v>
      </c>
      <c r="F6" s="4">
        <v>26000</v>
      </c>
      <c r="G6" s="4">
        <v>1000</v>
      </c>
      <c r="H6" s="4">
        <v>3500</v>
      </c>
      <c r="I6" s="4">
        <v>3000</v>
      </c>
      <c r="J6" s="4">
        <v>1000</v>
      </c>
      <c r="K6" s="4">
        <v>7500</v>
      </c>
      <c r="L6" s="4">
        <v>7500</v>
      </c>
      <c r="N6" s="4">
        <v>10000</v>
      </c>
      <c r="O6" s="4">
        <v>1800</v>
      </c>
      <c r="P6" s="4">
        <v>2500</v>
      </c>
      <c r="Q6" s="4">
        <v>20000</v>
      </c>
      <c r="R6" s="4">
        <v>2500</v>
      </c>
      <c r="S6" s="4">
        <v>5000</v>
      </c>
      <c r="V6" s="4">
        <v>3000</v>
      </c>
      <c r="W6" s="4">
        <v>1500</v>
      </c>
      <c r="X6" s="4">
        <v>2000</v>
      </c>
      <c r="Y6" s="4">
        <v>750</v>
      </c>
      <c r="Z6" s="4">
        <v>4000</v>
      </c>
      <c r="AA6" s="4">
        <f t="shared" si="0"/>
        <v>127550</v>
      </c>
      <c r="AB6" s="8">
        <f t="shared" si="1"/>
        <v>63775</v>
      </c>
      <c r="AC6" s="4">
        <v>10000</v>
      </c>
      <c r="AD6" s="8">
        <f t="shared" si="2"/>
        <v>21225</v>
      </c>
      <c r="AE6" s="4">
        <v>95000</v>
      </c>
      <c r="AF6" s="9">
        <f t="shared" si="3"/>
        <v>56275</v>
      </c>
      <c r="AG6" s="10">
        <f t="shared" si="4"/>
        <v>48275</v>
      </c>
      <c r="AH6" s="11">
        <f t="shared" si="5"/>
        <v>104550</v>
      </c>
    </row>
    <row r="7" spans="1:34" ht="15" customHeight="1" x14ac:dyDescent="0.25">
      <c r="A7" s="4" t="s">
        <v>38</v>
      </c>
      <c r="B7" s="4">
        <v>25000</v>
      </c>
      <c r="C7" s="4">
        <v>4369</v>
      </c>
      <c r="D7" s="4">
        <v>15500</v>
      </c>
      <c r="E7" s="4">
        <v>9500</v>
      </c>
      <c r="F7" s="4">
        <v>26000</v>
      </c>
      <c r="G7" s="4">
        <v>1000</v>
      </c>
      <c r="H7" s="4">
        <v>3500</v>
      </c>
      <c r="I7" s="4">
        <v>3000</v>
      </c>
      <c r="J7" s="4">
        <v>1000</v>
      </c>
      <c r="K7" s="4">
        <v>7500</v>
      </c>
      <c r="L7" s="4">
        <v>7500</v>
      </c>
      <c r="N7" s="4">
        <v>10000</v>
      </c>
      <c r="O7" s="4">
        <v>1800</v>
      </c>
      <c r="P7" s="4">
        <v>2500</v>
      </c>
      <c r="Q7" s="4">
        <v>20000</v>
      </c>
      <c r="R7" s="4">
        <v>2500</v>
      </c>
      <c r="S7" s="4">
        <v>5000</v>
      </c>
      <c r="V7" s="4">
        <v>3000</v>
      </c>
      <c r="W7" s="4">
        <v>1500</v>
      </c>
      <c r="X7" s="4">
        <v>2000</v>
      </c>
      <c r="Y7" s="4">
        <v>750</v>
      </c>
      <c r="Z7" s="4">
        <v>4000</v>
      </c>
      <c r="AA7" s="4">
        <f t="shared" si="0"/>
        <v>156919</v>
      </c>
      <c r="AB7" s="8">
        <f t="shared" si="1"/>
        <v>78459.5</v>
      </c>
      <c r="AC7" s="4">
        <v>10000</v>
      </c>
      <c r="AD7" s="8">
        <f t="shared" si="2"/>
        <v>6540.5</v>
      </c>
      <c r="AE7" s="4">
        <v>95000</v>
      </c>
      <c r="AF7" s="9">
        <f t="shared" si="3"/>
        <v>70959.5</v>
      </c>
      <c r="AG7" s="10">
        <f t="shared" si="4"/>
        <v>62959.5</v>
      </c>
      <c r="AH7" s="11">
        <f t="shared" si="5"/>
        <v>133919</v>
      </c>
    </row>
    <row r="8" spans="1:34" ht="15" customHeight="1" x14ac:dyDescent="0.25">
      <c r="A8" s="4" t="s">
        <v>39</v>
      </c>
      <c r="D8" s="4">
        <v>15500</v>
      </c>
      <c r="E8" s="4">
        <v>9500</v>
      </c>
      <c r="F8" s="4">
        <v>26000</v>
      </c>
      <c r="G8" s="4">
        <v>1000</v>
      </c>
      <c r="H8" s="4">
        <v>3500</v>
      </c>
      <c r="I8" s="4">
        <v>3000</v>
      </c>
      <c r="J8" s="4">
        <v>1000</v>
      </c>
      <c r="K8" s="4">
        <v>7500</v>
      </c>
      <c r="L8" s="4">
        <v>7500</v>
      </c>
      <c r="N8" s="4">
        <v>10000</v>
      </c>
      <c r="O8" s="4">
        <v>3600</v>
      </c>
      <c r="P8" s="4">
        <v>2500</v>
      </c>
      <c r="Q8" s="4">
        <v>20000</v>
      </c>
      <c r="R8" s="4">
        <v>2500</v>
      </c>
      <c r="S8" s="4">
        <v>5000</v>
      </c>
      <c r="U8" s="4">
        <v>1500</v>
      </c>
      <c r="V8" s="4">
        <v>3000</v>
      </c>
      <c r="W8" s="4">
        <v>1500</v>
      </c>
      <c r="X8" s="4">
        <v>2000</v>
      </c>
      <c r="Y8" s="4">
        <v>750</v>
      </c>
      <c r="Z8" s="4">
        <v>4000</v>
      </c>
      <c r="AA8" s="4">
        <f t="shared" si="0"/>
        <v>130850</v>
      </c>
      <c r="AB8" s="8">
        <f t="shared" si="1"/>
        <v>65425</v>
      </c>
      <c r="AC8" s="4">
        <v>10000</v>
      </c>
      <c r="AD8" s="8">
        <f t="shared" si="2"/>
        <v>19575</v>
      </c>
      <c r="AE8" s="4">
        <v>95000</v>
      </c>
      <c r="AF8" s="9">
        <f t="shared" si="3"/>
        <v>57925</v>
      </c>
      <c r="AG8" s="10">
        <f t="shared" si="4"/>
        <v>49925</v>
      </c>
      <c r="AH8" s="11">
        <f t="shared" si="5"/>
        <v>107850</v>
      </c>
    </row>
    <row r="9" spans="1:34" ht="15" customHeight="1" x14ac:dyDescent="0.25">
      <c r="A9" s="4" t="s">
        <v>40</v>
      </c>
      <c r="C9" s="4">
        <v>4369</v>
      </c>
      <c r="D9" s="4">
        <v>15500</v>
      </c>
      <c r="E9" s="4">
        <v>9500</v>
      </c>
      <c r="F9" s="4">
        <v>26000</v>
      </c>
      <c r="G9" s="4">
        <v>1000</v>
      </c>
      <c r="H9" s="4">
        <v>3500</v>
      </c>
      <c r="I9" s="4">
        <v>3000</v>
      </c>
      <c r="J9" s="4">
        <v>1000</v>
      </c>
      <c r="K9" s="4">
        <v>7500</v>
      </c>
      <c r="L9" s="4">
        <v>7500</v>
      </c>
      <c r="N9" s="4">
        <v>10000</v>
      </c>
      <c r="O9" s="4">
        <v>3600</v>
      </c>
      <c r="P9" s="4">
        <v>2500</v>
      </c>
      <c r="Q9" s="4">
        <v>20000</v>
      </c>
      <c r="R9" s="4">
        <v>2500</v>
      </c>
      <c r="S9" s="4">
        <v>5000</v>
      </c>
      <c r="T9" s="4">
        <v>12000</v>
      </c>
      <c r="V9" s="4">
        <v>3000</v>
      </c>
      <c r="W9" s="4">
        <v>1500</v>
      </c>
      <c r="X9" s="4">
        <v>2000</v>
      </c>
      <c r="Y9" s="4">
        <v>750</v>
      </c>
      <c r="Z9" s="4">
        <v>4000</v>
      </c>
      <c r="AA9" s="4">
        <f t="shared" si="0"/>
        <v>145719</v>
      </c>
      <c r="AB9" s="8">
        <f t="shared" si="1"/>
        <v>72859.5</v>
      </c>
      <c r="AC9" s="4">
        <v>10000</v>
      </c>
      <c r="AD9" s="8">
        <f t="shared" si="2"/>
        <v>12140.5</v>
      </c>
      <c r="AE9" s="4">
        <v>95000</v>
      </c>
      <c r="AF9" s="9">
        <f t="shared" si="3"/>
        <v>65359.5</v>
      </c>
      <c r="AG9" s="10">
        <f t="shared" si="4"/>
        <v>57359.5</v>
      </c>
      <c r="AH9" s="11">
        <f t="shared" si="5"/>
        <v>122719</v>
      </c>
    </row>
    <row r="10" spans="1:34" ht="15" customHeight="1" x14ac:dyDescent="0.25">
      <c r="A10" s="4" t="s">
        <v>41</v>
      </c>
      <c r="D10" s="4">
        <v>15500</v>
      </c>
      <c r="E10" s="4">
        <v>9500</v>
      </c>
      <c r="F10" s="4">
        <v>35000</v>
      </c>
      <c r="G10" s="4">
        <v>1000</v>
      </c>
      <c r="H10" s="4">
        <v>3500</v>
      </c>
      <c r="I10" s="4">
        <v>3000</v>
      </c>
      <c r="J10" s="4">
        <v>1000</v>
      </c>
      <c r="K10" s="4">
        <v>7500</v>
      </c>
      <c r="L10" s="4">
        <v>7500</v>
      </c>
      <c r="N10" s="4">
        <v>10000</v>
      </c>
      <c r="O10" s="4">
        <v>3600</v>
      </c>
      <c r="P10" s="4">
        <v>2500</v>
      </c>
      <c r="Q10" s="4">
        <v>20000</v>
      </c>
      <c r="R10" s="4">
        <v>2500</v>
      </c>
      <c r="S10" s="4">
        <v>5000</v>
      </c>
      <c r="V10" s="4">
        <v>3000</v>
      </c>
      <c r="W10" s="4">
        <v>1500</v>
      </c>
      <c r="X10" s="4">
        <v>2000</v>
      </c>
      <c r="Y10" s="4">
        <v>750</v>
      </c>
      <c r="Z10" s="4">
        <v>4000</v>
      </c>
      <c r="AA10" s="4">
        <f t="shared" si="0"/>
        <v>138350</v>
      </c>
      <c r="AB10" s="8">
        <f t="shared" si="1"/>
        <v>69175</v>
      </c>
      <c r="AC10" s="4">
        <v>10000</v>
      </c>
      <c r="AD10" s="8">
        <f t="shared" si="2"/>
        <v>15825</v>
      </c>
      <c r="AE10" s="4">
        <v>95000</v>
      </c>
      <c r="AF10" s="9">
        <f t="shared" si="3"/>
        <v>61675</v>
      </c>
      <c r="AG10" s="10">
        <f t="shared" si="4"/>
        <v>53675</v>
      </c>
      <c r="AH10" s="11">
        <f t="shared" si="5"/>
        <v>115350</v>
      </c>
    </row>
    <row r="12" spans="1:34" ht="15" customHeight="1" x14ac:dyDescent="0.25">
      <c r="A12" s="2" t="s">
        <v>42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34" ht="15" customHeight="1" x14ac:dyDescent="0.25">
      <c r="A13" s="4" t="s">
        <v>1</v>
      </c>
      <c r="B13" s="4" t="s">
        <v>2</v>
      </c>
      <c r="C13" s="4" t="s">
        <v>3</v>
      </c>
      <c r="D13" s="4" t="s">
        <v>4</v>
      </c>
      <c r="E13" s="4" t="s">
        <v>5</v>
      </c>
      <c r="F13" s="4" t="s">
        <v>6</v>
      </c>
      <c r="G13" s="4" t="s">
        <v>7</v>
      </c>
      <c r="H13" s="4" t="s">
        <v>8</v>
      </c>
      <c r="I13" s="4" t="s">
        <v>9</v>
      </c>
      <c r="J13" s="4" t="s">
        <v>10</v>
      </c>
      <c r="K13" s="4" t="s">
        <v>11</v>
      </c>
      <c r="L13" s="4" t="s">
        <v>12</v>
      </c>
      <c r="M13" s="4" t="s">
        <v>13</v>
      </c>
      <c r="N13" s="4" t="s">
        <v>14</v>
      </c>
      <c r="O13" s="4" t="s">
        <v>15</v>
      </c>
      <c r="P13" s="4" t="s">
        <v>16</v>
      </c>
      <c r="Q13" s="4" t="s">
        <v>17</v>
      </c>
      <c r="R13" s="4" t="s">
        <v>18</v>
      </c>
      <c r="S13" s="4" t="s">
        <v>19</v>
      </c>
      <c r="T13" s="4" t="s">
        <v>43</v>
      </c>
      <c r="U13" s="4" t="s">
        <v>21</v>
      </c>
      <c r="V13" s="4" t="s">
        <v>22</v>
      </c>
      <c r="W13" s="4" t="s">
        <v>44</v>
      </c>
      <c r="X13" s="4" t="s">
        <v>24</v>
      </c>
      <c r="Y13" s="4" t="s">
        <v>25</v>
      </c>
      <c r="Z13" s="4" t="s">
        <v>26</v>
      </c>
      <c r="AA13" s="4" t="s">
        <v>27</v>
      </c>
    </row>
    <row r="14" spans="1:34" ht="15" customHeight="1" x14ac:dyDescent="0.25">
      <c r="A14" s="4" t="s">
        <v>34</v>
      </c>
      <c r="B14" s="4" t="str">
        <f>IF(Mayo!B33&gt;0,Mayo!B33,"")</f>
        <v/>
      </c>
      <c r="C14" s="4" t="str">
        <f>IF(Mayo!C33&gt;0,Mayo!C33,"")</f>
        <v/>
      </c>
      <c r="D14" s="4" t="str">
        <f>IF(Mayo!D33&gt;0,Mayo!D33,"")</f>
        <v/>
      </c>
      <c r="E14" s="4" t="str">
        <f>IF(Mayo!E33&gt;0,Mayo!E33,"")</f>
        <v/>
      </c>
      <c r="F14" s="4">
        <f>IF(Mayo!F33&gt;0,Mayo!F33,"")</f>
        <v>17944</v>
      </c>
      <c r="G14" s="4">
        <f>IF(Mayo!G33&gt;0,Mayo!G33,"")</f>
        <v>980</v>
      </c>
      <c r="H14" s="4" t="str">
        <f>IF(Mayo!H33&gt;0,Mayo!H33,"")</f>
        <v/>
      </c>
      <c r="I14" s="4" t="str">
        <f>IF(Mayo!I33&gt;0,Mayo!I33,"")</f>
        <v/>
      </c>
      <c r="J14" s="4" t="str">
        <f>IF(Mayo!J33&gt;0,Mayo!J33,"")</f>
        <v/>
      </c>
      <c r="K14" s="4" t="str">
        <f>IF(Mayo!K33&gt;0,Mayo!K33,"")</f>
        <v/>
      </c>
      <c r="L14" s="4" t="str">
        <f>IF(Mayo!L33&gt;0,Mayo!L33,"")</f>
        <v/>
      </c>
      <c r="M14" s="4" t="str">
        <f>IF(Mayo!M33&gt;0,Mayo!M33,"")</f>
        <v/>
      </c>
      <c r="N14" s="4" t="str">
        <f>IF(Mayo!N33&gt;0,Mayo!N33,"")</f>
        <v/>
      </c>
      <c r="O14" s="4" t="str">
        <f>IF(Mayo!O33&gt;0,Mayo!O33,"")</f>
        <v/>
      </c>
      <c r="P14" s="4" t="str">
        <f>IF(Mayo!P33&gt;0,Mayo!P33,"")</f>
        <v/>
      </c>
      <c r="Q14" s="4">
        <f>IF(Mayo!Q33&gt;0,Mayo!Q33,"")</f>
        <v>3177.77</v>
      </c>
      <c r="R14" s="4" t="str">
        <f>IF(Mayo!R33&gt;0,Mayo!R33,"")</f>
        <v/>
      </c>
      <c r="S14" s="4" t="str">
        <f>IF(Mayo!S33&gt;0,Mayo!S33,"")</f>
        <v/>
      </c>
      <c r="T14" s="4" t="str">
        <f>IF(Mayo!T33&gt;0,Mayo!T33,"")</f>
        <v/>
      </c>
      <c r="U14" s="4" t="str">
        <f>IF(Mayo!U33&gt;0,Mayo!U33,"")</f>
        <v/>
      </c>
      <c r="V14" s="4" t="str">
        <f>IF(Mayo!V33&gt;0,Mayo!V33,"")</f>
        <v/>
      </c>
      <c r="W14" s="4">
        <f>IF(Mayo!W33&gt;0,Mayo!W33,"")</f>
        <v>68.64</v>
      </c>
      <c r="X14" s="4" t="str">
        <f>IF(Mayo!X33&gt;0,Mayo!X33,"")</f>
        <v/>
      </c>
      <c r="Y14" s="4" t="str">
        <f>IF(Mayo!Y33&gt;0,Mayo!Y33,"")</f>
        <v/>
      </c>
      <c r="Z14" s="4" t="str">
        <f>IF(Mayo!Z33&gt;0,Mayo!Z33,"")</f>
        <v/>
      </c>
      <c r="AA14" s="4">
        <f>IF(Mayo!AA33&gt;0,Mayo!AA33,"")</f>
        <v>22170.41</v>
      </c>
    </row>
    <row r="15" spans="1:34" ht="15" customHeight="1" x14ac:dyDescent="0.25">
      <c r="A15" s="4" t="s">
        <v>35</v>
      </c>
      <c r="B15" s="4" t="str">
        <f>IF(Junio!B32&gt;0,Junio!B32,"")</f>
        <v/>
      </c>
      <c r="C15" s="4" t="str">
        <f>IF(Junio!C32&gt;0,Junio!C32,"")</f>
        <v/>
      </c>
      <c r="D15" s="4" t="str">
        <f>IF(Junio!D32&gt;0,Junio!D32,"")</f>
        <v/>
      </c>
      <c r="E15" s="4" t="str">
        <f>IF(Junio!E32&gt;0,Junio!E32,"")</f>
        <v/>
      </c>
      <c r="F15" s="4" t="str">
        <f>IF(Junio!F32&gt;0,Junio!F32,"")</f>
        <v/>
      </c>
      <c r="G15" s="4" t="str">
        <f>IF(Junio!G32&gt;0,Junio!G32,"")</f>
        <v/>
      </c>
      <c r="H15" s="4" t="str">
        <f>IF(Junio!H32&gt;0,Junio!H32,"")</f>
        <v/>
      </c>
      <c r="I15" s="4" t="str">
        <f>IF(Junio!I32&gt;0,Junio!I32,"")</f>
        <v/>
      </c>
      <c r="J15" s="4" t="str">
        <f>IF(Junio!J32&gt;0,Junio!J32,"")</f>
        <v/>
      </c>
      <c r="K15" s="4" t="str">
        <f>IF(Junio!K32&gt;0,Junio!K32,"")</f>
        <v/>
      </c>
      <c r="L15" s="4" t="str">
        <f>IF(Junio!L32&gt;0,Junio!L32,"")</f>
        <v/>
      </c>
      <c r="M15" s="4" t="str">
        <f>IF(Junio!M32&gt;0,Junio!M32,"")</f>
        <v/>
      </c>
      <c r="N15" s="4" t="str">
        <f>IF(Junio!N32&gt;0,Junio!N32,"")</f>
        <v/>
      </c>
      <c r="O15" s="4" t="str">
        <f>IF(Junio!O32&gt;0,Junio!O32,"")</f>
        <v/>
      </c>
      <c r="P15" s="4" t="str">
        <f>IF(Junio!P32&gt;0,Junio!P32,"")</f>
        <v/>
      </c>
      <c r="Q15" s="4" t="str">
        <f>IF(Junio!Q32&gt;0,Junio!Q32,"")</f>
        <v/>
      </c>
      <c r="R15" s="4" t="str">
        <f>IF(Junio!R32&gt;0,Junio!R32,"")</f>
        <v/>
      </c>
      <c r="S15" s="4" t="str">
        <f>IF(Junio!S32&gt;0,Junio!S32,"")</f>
        <v/>
      </c>
      <c r="T15" s="4" t="str">
        <f>IF(Junio!T32&gt;0,Junio!T32,"")</f>
        <v/>
      </c>
      <c r="U15" s="4" t="str">
        <f>IF(Junio!U32&gt;0,Junio!U32,"")</f>
        <v/>
      </c>
      <c r="V15" s="4" t="str">
        <f>IF(Junio!V32&gt;0,Junio!V32,"")</f>
        <v/>
      </c>
      <c r="W15" s="4" t="str">
        <f>IF(Junio!W32&gt;0,Junio!W32,"")</f>
        <v/>
      </c>
      <c r="X15" s="4" t="str">
        <f>IF(Junio!X32&gt;0,Junio!X32,"")</f>
        <v/>
      </c>
      <c r="Y15" s="4" t="str">
        <f>IF(Junio!Y32&gt;0,Junio!Y32,"")</f>
        <v/>
      </c>
      <c r="Z15" s="4" t="str">
        <f>IF(Junio!Z32&gt;0,Junio!Z32,"")</f>
        <v/>
      </c>
      <c r="AA15" s="4" t="str">
        <f>IF(Junio!AA32&gt;0,Junio!AA32,"")</f>
        <v/>
      </c>
    </row>
    <row r="16" spans="1:34" ht="15" customHeight="1" x14ac:dyDescent="0.25">
      <c r="A16" s="4" t="s">
        <v>36</v>
      </c>
      <c r="B16" s="4" t="str">
        <f>IF(Julio!B33&gt;0,Julio!B33,"")</f>
        <v/>
      </c>
      <c r="C16" s="4" t="str">
        <f>IF(Julio!C33&gt;0,Julio!C33,"")</f>
        <v/>
      </c>
      <c r="D16" s="4" t="str">
        <f>IF(Julio!D33&gt;0,Julio!D33,"")</f>
        <v/>
      </c>
      <c r="E16" s="4" t="str">
        <f>IF(Julio!E33&gt;0,Julio!E33,"")</f>
        <v/>
      </c>
      <c r="F16" s="4" t="str">
        <f>IF(Julio!F33&gt;0,Julio!F33,"")</f>
        <v/>
      </c>
      <c r="G16" s="4" t="str">
        <f>IF(Julio!G33&gt;0,Julio!G33,"")</f>
        <v/>
      </c>
      <c r="H16" s="4" t="str">
        <f>IF(Julio!H33&gt;0,Julio!H33,"")</f>
        <v/>
      </c>
      <c r="I16" s="4" t="str">
        <f>IF(Julio!I33&gt;0,Julio!I33,"")</f>
        <v/>
      </c>
      <c r="J16" s="4" t="str">
        <f>IF(Julio!J33&gt;0,Julio!J33,"")</f>
        <v/>
      </c>
      <c r="K16" s="4" t="str">
        <f>IF(Julio!K33&gt;0,Julio!K33,"")</f>
        <v/>
      </c>
      <c r="L16" s="4" t="str">
        <f>IF(Julio!L33&gt;0,Julio!L33,"")</f>
        <v/>
      </c>
      <c r="M16" s="4" t="str">
        <f>IF(Julio!M33&gt;0,Julio!M33,"")</f>
        <v/>
      </c>
      <c r="N16" s="4" t="str">
        <f>IF(Julio!N33&gt;0,Julio!N33,"")</f>
        <v/>
      </c>
      <c r="O16" s="4" t="str">
        <f>IF(Julio!O33&gt;0,Julio!O33,"")</f>
        <v/>
      </c>
      <c r="P16" s="4" t="str">
        <f>IF(Julio!P33&gt;0,Julio!P33,"")</f>
        <v/>
      </c>
      <c r="Q16" s="4" t="str">
        <f>IF(Julio!Q33&gt;0,Julio!Q33,"")</f>
        <v/>
      </c>
      <c r="R16" s="4" t="str">
        <f>IF(Julio!R33&gt;0,Julio!R33,"")</f>
        <v/>
      </c>
      <c r="S16" s="4" t="str">
        <f>IF(Julio!S33&gt;0,Julio!S33,"")</f>
        <v/>
      </c>
      <c r="T16" s="4" t="str">
        <f>IF(Julio!T33&gt;0,Julio!T33,"")</f>
        <v/>
      </c>
      <c r="U16" s="4" t="str">
        <f>IF(Julio!U33&gt;0,Julio!U33,"")</f>
        <v/>
      </c>
      <c r="V16" s="4" t="str">
        <f>IF(Julio!V33&gt;0,Julio!V33,"")</f>
        <v/>
      </c>
      <c r="W16" s="4" t="str">
        <f>IF(Julio!W33&gt;0,Julio!W33,"")</f>
        <v/>
      </c>
      <c r="X16" s="4" t="str">
        <f>IF(Julio!X33&gt;0,Julio!X33,"")</f>
        <v/>
      </c>
      <c r="Y16" s="4" t="str">
        <f>IF(Julio!Y33&gt;0,Julio!Y33,"")</f>
        <v/>
      </c>
      <c r="Z16" s="4" t="str">
        <f>IF(Julio!Z33&gt;0,Julio!Z33,"")</f>
        <v/>
      </c>
      <c r="AA16" s="4" t="str">
        <f>IF(Julio!AA33&gt;0,Julio!AA33,"")</f>
        <v/>
      </c>
    </row>
    <row r="17" spans="1:27" ht="15" customHeight="1" x14ac:dyDescent="0.25">
      <c r="A17" s="4" t="s">
        <v>37</v>
      </c>
      <c r="B17" s="4" t="str">
        <f>IF(Agosto!B33&gt;0,Agosto!B33,"")</f>
        <v/>
      </c>
      <c r="C17" s="4" t="str">
        <f>IF(Agosto!C33&gt;0,Agosto!C33,"")</f>
        <v/>
      </c>
      <c r="D17" s="4" t="str">
        <f>IF(Agosto!D33&gt;0,Agosto!D33,"")</f>
        <v/>
      </c>
      <c r="E17" s="4" t="str">
        <f>IF(Agosto!E33&gt;0,Agosto!E33,"")</f>
        <v/>
      </c>
      <c r="F17" s="4" t="str">
        <f>IF(Agosto!F33&gt;0,Agosto!F33,"")</f>
        <v/>
      </c>
      <c r="G17" s="4" t="str">
        <f>IF(Agosto!G33&gt;0,Agosto!G33,"")</f>
        <v/>
      </c>
      <c r="H17" s="4" t="str">
        <f>IF(Agosto!H33&gt;0,Agosto!H33,"")</f>
        <v/>
      </c>
      <c r="I17" s="4" t="str">
        <f>IF(Agosto!I33&gt;0,Agosto!I33,"")</f>
        <v/>
      </c>
      <c r="J17" s="4" t="str">
        <f>IF(Agosto!J33&gt;0,Agosto!J33,"")</f>
        <v/>
      </c>
      <c r="K17" s="4" t="str">
        <f>IF(Agosto!K33&gt;0,Agosto!K33,"")</f>
        <v/>
      </c>
      <c r="L17" s="4" t="str">
        <f>IF(Agosto!L33&gt;0,Agosto!L33,"")</f>
        <v/>
      </c>
      <c r="M17" s="4" t="str">
        <f>IF(Agosto!M33&gt;0,Agosto!M33,"")</f>
        <v/>
      </c>
      <c r="N17" s="4" t="str">
        <f>IF(Agosto!N33&gt;0,Agosto!N33,"")</f>
        <v/>
      </c>
      <c r="O17" s="4" t="str">
        <f>IF(Agosto!O33&gt;0,Agosto!O33,"")</f>
        <v/>
      </c>
      <c r="P17" s="4" t="str">
        <f>IF(Agosto!P33&gt;0,Agosto!P33,"")</f>
        <v/>
      </c>
      <c r="Q17" s="4" t="str">
        <f>IF(Agosto!Q33&gt;0,Agosto!Q33,"")</f>
        <v/>
      </c>
      <c r="R17" s="4" t="str">
        <f>IF(Agosto!R33&gt;0,Agosto!R33,"")</f>
        <v/>
      </c>
      <c r="S17" s="4" t="str">
        <f>IF(Agosto!S33&gt;0,Agosto!S33,"")</f>
        <v/>
      </c>
      <c r="T17" s="4" t="str">
        <f>IF(Agosto!T33&gt;0,Agosto!T33,"")</f>
        <v/>
      </c>
      <c r="U17" s="4" t="str">
        <f>IF(Agosto!U33&gt;0,Agosto!U33,"")</f>
        <v/>
      </c>
      <c r="V17" s="4" t="str">
        <f>IF(Agosto!V33&gt;0,Agosto!V33,"")</f>
        <v/>
      </c>
      <c r="W17" s="4" t="str">
        <f>IF(Agosto!W33&gt;0,Agosto!W33,"")</f>
        <v/>
      </c>
      <c r="X17" s="4" t="str">
        <f>IF(Agosto!X33&gt;0,Agosto!X33,"")</f>
        <v/>
      </c>
      <c r="Y17" s="4" t="str">
        <f>IF(Agosto!Y33&gt;0,Agosto!Y33,"")</f>
        <v/>
      </c>
      <c r="Z17" s="4" t="str">
        <f>IF(Agosto!Z33&gt;0,Agosto!Z33,"")</f>
        <v/>
      </c>
      <c r="AA17" s="4" t="str">
        <f>IF(Agosto!AA33&gt;0,Agosto!AA33,"")</f>
        <v/>
      </c>
    </row>
    <row r="18" spans="1:27" ht="15" customHeight="1" x14ac:dyDescent="0.25">
      <c r="A18" s="4" t="s">
        <v>38</v>
      </c>
      <c r="B18" s="4" t="str">
        <f>IF(Setiembre!B32&gt;0,Setiembre!B32,"")</f>
        <v/>
      </c>
      <c r="C18" s="4" t="str">
        <f>IF(Setiembre!C32&gt;0,Setiembre!C32,"")</f>
        <v/>
      </c>
      <c r="D18" s="4" t="str">
        <f>IF(Setiembre!D32&gt;0,Setiembre!D32,"")</f>
        <v/>
      </c>
      <c r="E18" s="4" t="str">
        <f>IF(Setiembre!E32&gt;0,Setiembre!E32,"")</f>
        <v/>
      </c>
      <c r="F18" s="4" t="str">
        <f>IF(Setiembre!F32&gt;0,Setiembre!F32,"")</f>
        <v/>
      </c>
      <c r="G18" s="4" t="str">
        <f>IF(Setiembre!G32&gt;0,Setiembre!G32,"")</f>
        <v/>
      </c>
      <c r="H18" s="4" t="str">
        <f>IF(Setiembre!H32&gt;0,Setiembre!H32,"")</f>
        <v/>
      </c>
      <c r="I18" s="4" t="str">
        <f>IF(Setiembre!I32&gt;0,Setiembre!I32,"")</f>
        <v/>
      </c>
      <c r="J18" s="4" t="str">
        <f>IF(Setiembre!J32&gt;0,Setiembre!J32,"")</f>
        <v/>
      </c>
      <c r="K18" s="4" t="str">
        <f>IF(Setiembre!K32&gt;0,Setiembre!K32,"")</f>
        <v/>
      </c>
      <c r="L18" s="4" t="str">
        <f>IF(Setiembre!L32&gt;0,Setiembre!L32,"")</f>
        <v/>
      </c>
      <c r="M18" s="4" t="str">
        <f>IF(Setiembre!M32&gt;0,Setiembre!M32,"")</f>
        <v/>
      </c>
      <c r="N18" s="4" t="str">
        <f>IF(Setiembre!N32&gt;0,Setiembre!N32,"")</f>
        <v/>
      </c>
      <c r="O18" s="4" t="str">
        <f>IF(Setiembre!O32&gt;0,Setiembre!O32,"")</f>
        <v/>
      </c>
      <c r="P18" s="4" t="str">
        <f>IF(Setiembre!P32&gt;0,Setiembre!P32,"")</f>
        <v/>
      </c>
      <c r="Q18" s="4" t="str">
        <f>IF(Setiembre!Q32&gt;0,Setiembre!Q32,"")</f>
        <v/>
      </c>
      <c r="R18" s="4" t="str">
        <f>IF(Setiembre!R32&gt;0,Setiembre!R32,"")</f>
        <v/>
      </c>
      <c r="S18" s="4" t="str">
        <f>IF(Setiembre!S32&gt;0,Setiembre!S32,"")</f>
        <v/>
      </c>
      <c r="T18" s="4" t="str">
        <f>IF(Setiembre!T32&gt;0,Setiembre!T32,"")</f>
        <v/>
      </c>
      <c r="U18" s="4" t="str">
        <f>IF(Setiembre!U32&gt;0,Setiembre!U32,"")</f>
        <v/>
      </c>
      <c r="V18" s="4" t="str">
        <f>IF(Setiembre!V32&gt;0,Setiembre!V32,"")</f>
        <v/>
      </c>
      <c r="W18" s="4" t="str">
        <f>IF(Setiembre!W32&gt;0,Setiembre!W32,"")</f>
        <v/>
      </c>
      <c r="X18" s="4" t="str">
        <f>IF(Setiembre!X32&gt;0,Setiembre!X32,"")</f>
        <v/>
      </c>
      <c r="Y18" s="4" t="str">
        <f>IF(Setiembre!Y32&gt;0,Setiembre!Y32,"")</f>
        <v/>
      </c>
      <c r="Z18" s="4" t="str">
        <f>IF(Setiembre!Z32&gt;0,Setiembre!Z32,"")</f>
        <v/>
      </c>
      <c r="AA18" s="4" t="str">
        <f>IF(Setiembre!AA32&gt;0,Setiembre!AA32,"")</f>
        <v/>
      </c>
    </row>
    <row r="19" spans="1:27" ht="15" customHeight="1" x14ac:dyDescent="0.25">
      <c r="A19" s="4" t="s">
        <v>39</v>
      </c>
      <c r="B19" s="4" t="str">
        <f>IF(Octubre!B33&gt;0,Octubre!B33,"")</f>
        <v/>
      </c>
      <c r="C19" s="4" t="str">
        <f>IF(Octubre!C33&gt;0,Octubre!C33,"")</f>
        <v/>
      </c>
      <c r="D19" s="4" t="str">
        <f>IF(Octubre!D33&gt;0,Octubre!D33,"")</f>
        <v/>
      </c>
      <c r="E19" s="4" t="str">
        <f>IF(Octubre!E33&gt;0,Octubre!E33,"")</f>
        <v/>
      </c>
      <c r="F19" s="4" t="str">
        <f>IF(Octubre!F33&gt;0,Octubre!F33,"")</f>
        <v/>
      </c>
      <c r="G19" s="4" t="str">
        <f>IF(Octubre!G33&gt;0,Octubre!G33,"")</f>
        <v/>
      </c>
      <c r="H19" s="4" t="str">
        <f>IF(Octubre!H33&gt;0,Octubre!H33,"")</f>
        <v/>
      </c>
      <c r="I19" s="4" t="str">
        <f>IF(Octubre!I33&gt;0,Octubre!I33,"")</f>
        <v/>
      </c>
      <c r="J19" s="4" t="str">
        <f>IF(Octubre!J33&gt;0,Octubre!J33,"")</f>
        <v/>
      </c>
      <c r="K19" s="4" t="str">
        <f>IF(Octubre!K33&gt;0,Octubre!K33,"")</f>
        <v/>
      </c>
      <c r="L19" s="4" t="str">
        <f>IF(Octubre!L33&gt;0,Octubre!L33,"")</f>
        <v/>
      </c>
      <c r="M19" s="4" t="str">
        <f>IF(Octubre!M33&gt;0,Octubre!M33,"")</f>
        <v/>
      </c>
      <c r="N19" s="4" t="str">
        <f>IF(Octubre!N33&gt;0,Octubre!N33,"")</f>
        <v/>
      </c>
      <c r="O19" s="4" t="str">
        <f>IF(Octubre!O33&gt;0,Octubre!O33,"")</f>
        <v/>
      </c>
      <c r="P19" s="4" t="str">
        <f>IF(Octubre!P33&gt;0,Octubre!P33,"")</f>
        <v/>
      </c>
      <c r="Q19" s="4" t="str">
        <f>IF(Octubre!Q33&gt;0,Octubre!Q33,"")</f>
        <v/>
      </c>
      <c r="R19" s="4" t="str">
        <f>IF(Octubre!R33&gt;0,Octubre!R33,"")</f>
        <v/>
      </c>
      <c r="S19" s="4" t="str">
        <f>IF(Octubre!S33&gt;0,Octubre!S33,"")</f>
        <v/>
      </c>
      <c r="T19" s="4" t="str">
        <f>IF(Octubre!T33&gt;0,Octubre!T33,"")</f>
        <v/>
      </c>
      <c r="U19" s="4" t="str">
        <f>IF(Octubre!U33&gt;0,Octubre!U33,"")</f>
        <v/>
      </c>
      <c r="V19" s="4" t="str">
        <f>IF(Octubre!V33&gt;0,Octubre!V33,"")</f>
        <v/>
      </c>
      <c r="W19" s="4" t="str">
        <f>IF(Octubre!W33&gt;0,Octubre!W33,"")</f>
        <v/>
      </c>
      <c r="X19" s="4" t="str">
        <f>IF(Octubre!X33&gt;0,Octubre!X33,"")</f>
        <v/>
      </c>
      <c r="Y19" s="4" t="str">
        <f>IF(Octubre!Y33&gt;0,Octubre!Y33,"")</f>
        <v/>
      </c>
      <c r="Z19" s="4" t="str">
        <f>IF(Octubre!Z33&gt;0,Octubre!Z33,"")</f>
        <v/>
      </c>
      <c r="AA19" s="4" t="str">
        <f>IF(Octubre!AA33&gt;0,Octubre!AA33,"")</f>
        <v/>
      </c>
    </row>
    <row r="20" spans="1:27" ht="15" customHeight="1" x14ac:dyDescent="0.25">
      <c r="A20" s="4" t="s">
        <v>40</v>
      </c>
      <c r="B20" s="4" t="str">
        <f>IF(Noviembre!B32&gt;0,Noviembre!B32,"")</f>
        <v/>
      </c>
      <c r="C20" s="4" t="str">
        <f>IF(Noviembre!C32&gt;0,Noviembre!C32,"")</f>
        <v/>
      </c>
      <c r="D20" s="4" t="str">
        <f>IF(Noviembre!D32&gt;0,Noviembre!D32,"")</f>
        <v/>
      </c>
      <c r="E20" s="4" t="str">
        <f>IF(Noviembre!E32&gt;0,Noviembre!E32,"")</f>
        <v/>
      </c>
      <c r="F20" s="4" t="str">
        <f>IF(Noviembre!F32&gt;0,Noviembre!F32,"")</f>
        <v/>
      </c>
      <c r="G20" s="4" t="str">
        <f>IF(Noviembre!G32&gt;0,Noviembre!G32,"")</f>
        <v/>
      </c>
      <c r="H20" s="4" t="str">
        <f>IF(Noviembre!H32&gt;0,Noviembre!H32,"")</f>
        <v/>
      </c>
      <c r="I20" s="4" t="str">
        <f>IF(Noviembre!I32&gt;0,Noviembre!I32,"")</f>
        <v/>
      </c>
      <c r="J20" s="4" t="str">
        <f>IF(Noviembre!J32&gt;0,Noviembre!J32,"")</f>
        <v/>
      </c>
      <c r="K20" s="4" t="str">
        <f>IF(Noviembre!K32&gt;0,Noviembre!K32,"")</f>
        <v/>
      </c>
      <c r="L20" s="4" t="str">
        <f>IF(Noviembre!L32&gt;0,Noviembre!L32,"")</f>
        <v/>
      </c>
      <c r="M20" s="4" t="str">
        <f>IF(Noviembre!M32&gt;0,Noviembre!M32,"")</f>
        <v/>
      </c>
      <c r="N20" s="4" t="str">
        <f>IF(Noviembre!N32&gt;0,Noviembre!N32,"")</f>
        <v/>
      </c>
      <c r="O20" s="4" t="str">
        <f>IF(Noviembre!O32&gt;0,Noviembre!O32,"")</f>
        <v/>
      </c>
      <c r="P20" s="4" t="str">
        <f>IF(Noviembre!P32&gt;0,Noviembre!P32,"")</f>
        <v/>
      </c>
      <c r="Q20" s="4" t="str">
        <f>IF(Noviembre!Q32&gt;0,Noviembre!Q32,"")</f>
        <v/>
      </c>
      <c r="R20" s="4" t="str">
        <f>IF(Noviembre!R32&gt;0,Noviembre!R32,"")</f>
        <v/>
      </c>
      <c r="S20" s="4" t="str">
        <f>IF(Noviembre!S32&gt;0,Noviembre!S32,"")</f>
        <v/>
      </c>
      <c r="T20" s="4" t="str">
        <f>IF(Noviembre!T32&gt;0,Noviembre!T32,"")</f>
        <v/>
      </c>
      <c r="U20" s="4" t="str">
        <f>IF(Noviembre!U32&gt;0,Noviembre!U32,"")</f>
        <v/>
      </c>
      <c r="V20" s="4" t="str">
        <f>IF(Noviembre!V32&gt;0,Noviembre!V32,"")</f>
        <v/>
      </c>
      <c r="W20" s="4" t="str">
        <f>IF(Noviembre!W32&gt;0,Noviembre!W32,"")</f>
        <v/>
      </c>
      <c r="X20" s="4" t="str">
        <f>IF(Noviembre!X32&gt;0,Noviembre!X32,"")</f>
        <v/>
      </c>
      <c r="Y20" s="4" t="str">
        <f>IF(Noviembre!Y32&gt;0,Noviembre!Y32,"")</f>
        <v/>
      </c>
      <c r="Z20" s="4" t="str">
        <f>IF(Noviembre!Z32&gt;0,Noviembre!Z32,"")</f>
        <v/>
      </c>
      <c r="AA20" s="4" t="str">
        <f>IF(Noviembre!AA32&gt;0,Noviembre!AA32,"")</f>
        <v/>
      </c>
    </row>
    <row r="21" spans="1:27" ht="15" customHeight="1" x14ac:dyDescent="0.25">
      <c r="A21" s="4" t="s">
        <v>41</v>
      </c>
      <c r="B21" s="4" t="str">
        <f>IF(Diciembre!B33&gt;0,Diciembre!B33,"")</f>
        <v/>
      </c>
      <c r="C21" s="4" t="str">
        <f>IF(Diciembre!C33&gt;0,Diciembre!C33,"")</f>
        <v/>
      </c>
      <c r="D21" s="4" t="str">
        <f>IF(Diciembre!D33&gt;0,Diciembre!D33,"")</f>
        <v/>
      </c>
      <c r="E21" s="4" t="str">
        <f>IF(Diciembre!E33&gt;0,Diciembre!E33,"")</f>
        <v/>
      </c>
      <c r="F21" s="4" t="str">
        <f>IF(Diciembre!F33&gt;0,Diciembre!F33,"")</f>
        <v/>
      </c>
      <c r="G21" s="4" t="str">
        <f>IF(Diciembre!G33&gt;0,Diciembre!G33,"")</f>
        <v/>
      </c>
      <c r="H21" s="4" t="str">
        <f>IF(Diciembre!H33&gt;0,Diciembre!H33,"")</f>
        <v/>
      </c>
      <c r="I21" s="4" t="str">
        <f>IF(Diciembre!I33&gt;0,Diciembre!I33,"")</f>
        <v/>
      </c>
      <c r="J21" s="4" t="str">
        <f>IF(Diciembre!J33&gt;0,Diciembre!J33,"")</f>
        <v/>
      </c>
      <c r="K21" s="4" t="str">
        <f>IF(Diciembre!K33&gt;0,Diciembre!K33,"")</f>
        <v/>
      </c>
      <c r="L21" s="4" t="str">
        <f>IF(Diciembre!L33&gt;0,Diciembre!L33,"")</f>
        <v/>
      </c>
      <c r="M21" s="4" t="str">
        <f>IF(Diciembre!M33&gt;0,Diciembre!M33,"")</f>
        <v/>
      </c>
      <c r="N21" s="4" t="str">
        <f>IF(Diciembre!N33&gt;0,Diciembre!N33,"")</f>
        <v/>
      </c>
      <c r="O21" s="4" t="str">
        <f>IF(Diciembre!O33&gt;0,Diciembre!O33,"")</f>
        <v/>
      </c>
      <c r="P21" s="4" t="str">
        <f>IF(Diciembre!P33&gt;0,Diciembre!P33,"")</f>
        <v/>
      </c>
      <c r="Q21" s="4" t="str">
        <f>IF(Diciembre!Q33&gt;0,Diciembre!Q33,"")</f>
        <v/>
      </c>
      <c r="R21" s="4" t="str">
        <f>IF(Diciembre!R33&gt;0,Diciembre!R33,"")</f>
        <v/>
      </c>
      <c r="S21" s="4" t="str">
        <f>IF(Diciembre!S33&gt;0,Diciembre!S33,"")</f>
        <v/>
      </c>
      <c r="T21" s="4" t="str">
        <f>IF(Diciembre!T33&gt;0,Diciembre!T33,"")</f>
        <v/>
      </c>
      <c r="U21" s="4" t="str">
        <f>IF(Diciembre!U33&gt;0,Diciembre!U33,"")</f>
        <v/>
      </c>
      <c r="V21" s="4" t="str">
        <f>IF(Diciembre!V33&gt;0,Diciembre!V33,"")</f>
        <v/>
      </c>
      <c r="W21" s="4" t="str">
        <f>IF(Diciembre!W33&gt;0,Diciembre!W33,"")</f>
        <v/>
      </c>
      <c r="X21" s="4" t="str">
        <f>IF(Diciembre!X33&gt;0,Diciembre!X33,"")</f>
        <v/>
      </c>
      <c r="Y21" s="4" t="str">
        <f>IF(Diciembre!Y33&gt;0,Diciembre!Y33,"")</f>
        <v/>
      </c>
      <c r="Z21" s="4" t="str">
        <f>IF(Diciembre!Z33&gt;0,Diciembre!Z33,"")</f>
        <v/>
      </c>
      <c r="AA21" s="4" t="str">
        <f>IF(Diciembre!AA33&gt;0,Diciembre!AA33,"")</f>
        <v/>
      </c>
    </row>
    <row r="23" spans="1:27" ht="15" customHeight="1" x14ac:dyDescent="0.25">
      <c r="A23" s="1" t="s">
        <v>45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" customHeight="1" x14ac:dyDescent="0.25">
      <c r="A24" s="4" t="s">
        <v>1</v>
      </c>
      <c r="B24" s="4" t="s">
        <v>2</v>
      </c>
      <c r="C24" s="4" t="s">
        <v>3</v>
      </c>
      <c r="D24" s="4" t="s">
        <v>4</v>
      </c>
      <c r="E24" s="4" t="s">
        <v>5</v>
      </c>
      <c r="F24" s="4" t="s">
        <v>6</v>
      </c>
      <c r="G24" s="4" t="s">
        <v>7</v>
      </c>
      <c r="H24" s="4" t="s">
        <v>8</v>
      </c>
      <c r="I24" s="4" t="s">
        <v>9</v>
      </c>
      <c r="J24" s="4" t="s">
        <v>10</v>
      </c>
      <c r="K24" s="4" t="s">
        <v>11</v>
      </c>
      <c r="L24" s="4" t="s">
        <v>12</v>
      </c>
      <c r="M24" s="4" t="s">
        <v>13</v>
      </c>
      <c r="N24" s="4" t="s">
        <v>14</v>
      </c>
      <c r="O24" s="4" t="s">
        <v>15</v>
      </c>
      <c r="P24" s="4" t="s">
        <v>16</v>
      </c>
      <c r="Q24" s="4" t="s">
        <v>17</v>
      </c>
      <c r="R24" s="4" t="s">
        <v>18</v>
      </c>
      <c r="S24" s="4" t="s">
        <v>19</v>
      </c>
      <c r="T24" s="4" t="s">
        <v>43</v>
      </c>
      <c r="U24" s="4" t="s">
        <v>21</v>
      </c>
      <c r="V24" s="4" t="s">
        <v>22</v>
      </c>
      <c r="W24" s="4" t="s">
        <v>44</v>
      </c>
      <c r="X24" s="4" t="s">
        <v>24</v>
      </c>
      <c r="Y24" s="4" t="s">
        <v>25</v>
      </c>
      <c r="Z24" s="4" t="s">
        <v>26</v>
      </c>
      <c r="AA24" s="12" t="s">
        <v>46</v>
      </c>
    </row>
    <row r="25" spans="1:27" ht="15" customHeight="1" x14ac:dyDescent="0.25">
      <c r="A25" s="4" t="s">
        <v>34</v>
      </c>
      <c r="B25" s="4" t="str">
        <f>IF(ISNUMBER(Mayo!B33),B3-Mayo!B33,"")</f>
        <v/>
      </c>
      <c r="C25" s="4" t="str">
        <f>IF(ISNUMBER(Mayo!C33),C3-Mayo!C33,"")</f>
        <v/>
      </c>
      <c r="D25" s="4" t="str">
        <f>IF(ISNUMBER(Mayo!D33),D3-Mayo!D33,"")</f>
        <v/>
      </c>
      <c r="E25" s="4" t="str">
        <f>IF(ISNUMBER(Mayo!E33),E3-Mayo!E33,"")</f>
        <v/>
      </c>
      <c r="F25" s="4">
        <f>IF(ISNUMBER(Mayo!F33),F3-Mayo!F33,"")</f>
        <v>8056</v>
      </c>
      <c r="G25" s="4">
        <f>IF(ISNUMBER(Mayo!G33),G3-Mayo!G33,"")</f>
        <v>20</v>
      </c>
      <c r="H25" s="4" t="str">
        <f>IF(ISNUMBER(Mayo!H33),H3-Mayo!H33,"")</f>
        <v/>
      </c>
      <c r="I25" s="4" t="str">
        <f>IF(ISNUMBER(Mayo!I33),I3-Mayo!I33,"")</f>
        <v/>
      </c>
      <c r="J25" s="4" t="str">
        <f>IF(ISNUMBER(Mayo!J33),J3-Mayo!J33,"")</f>
        <v/>
      </c>
      <c r="K25" s="4" t="str">
        <f>IF(ISNUMBER(Mayo!K33),K3-Mayo!K33,"")</f>
        <v/>
      </c>
      <c r="L25" s="4" t="str">
        <f>IF(ISNUMBER(Mayo!L33),L3-Mayo!L33,"")</f>
        <v/>
      </c>
      <c r="M25" s="4" t="str">
        <f>IF(ISNUMBER(Mayo!M33),M3-Mayo!M33,"")</f>
        <v/>
      </c>
      <c r="N25" s="4" t="str">
        <f>IF(ISNUMBER(Mayo!N33),N3-Mayo!N33,"")</f>
        <v/>
      </c>
      <c r="O25" s="4" t="str">
        <f>IF(ISNUMBER(Mayo!O33),O3-Mayo!O33,"")</f>
        <v/>
      </c>
      <c r="P25" s="4" t="str">
        <f>IF(ISNUMBER(Mayo!P33),P3-Mayo!P33,"")</f>
        <v/>
      </c>
      <c r="Q25" s="4">
        <f>IF(ISNUMBER(Mayo!Q33),Q3-Mayo!Q33,"")</f>
        <v>16822.23</v>
      </c>
      <c r="R25" s="4" t="str">
        <f>IF(ISNUMBER(Mayo!R33),R3-Mayo!R33,"")</f>
        <v/>
      </c>
      <c r="S25" s="4" t="str">
        <f>IF(ISNUMBER(Mayo!S33),S3-Mayo!S33,"")</f>
        <v/>
      </c>
      <c r="T25" s="4" t="str">
        <f>IF(ISNUMBER(Mayo!T33),T3-Mayo!T33,"")</f>
        <v/>
      </c>
      <c r="U25" s="4" t="str">
        <f>IF(ISNUMBER(Mayo!U33),U3-Mayo!U33,"")</f>
        <v/>
      </c>
      <c r="V25" s="4" t="str">
        <f>IF(ISNUMBER(Mayo!V33),V3-Mayo!V33,"")</f>
        <v/>
      </c>
      <c r="W25" s="4">
        <f>IF(ISNUMBER(Mayo!W33),W3-Mayo!W33,"")</f>
        <v>1431.36</v>
      </c>
      <c r="X25" s="4" t="str">
        <f>IF(ISNUMBER(Mayo!X33),X3-Mayo!X33,"")</f>
        <v/>
      </c>
      <c r="Y25" s="4" t="str">
        <f>IF(ISNUMBER(Mayo!Y33),Y3-Mayo!Y33,"")</f>
        <v/>
      </c>
      <c r="Z25" s="4" t="str">
        <f>IF(ISNUMBER(Mayo!Z33),Z3-Mayo!Z33,"")</f>
        <v/>
      </c>
      <c r="AA25" s="13">
        <f t="shared" ref="AA25:AA33" si="6">SUMIF(B25:Z25,"&lt;&gt;"&amp;"")</f>
        <v>26329.59</v>
      </c>
    </row>
    <row r="26" spans="1:27" ht="15" customHeight="1" x14ac:dyDescent="0.25">
      <c r="A26" s="4" t="s">
        <v>35</v>
      </c>
      <c r="B26" s="4" t="str">
        <f>IF(ISNUMBER(Junio!B32),B4-Junio!B32,"")</f>
        <v/>
      </c>
      <c r="C26" s="4" t="str">
        <f>IF(ISNUMBER(Junio!C32),C4-Junio!C32,"")</f>
        <v/>
      </c>
      <c r="D26" s="4" t="str">
        <f>IF(ISNUMBER(Junio!D32),D4-Junio!D32,"")</f>
        <v/>
      </c>
      <c r="E26" s="4" t="str">
        <f>IF(ISNUMBER(Junio!E32),E4-Junio!E32,"")</f>
        <v/>
      </c>
      <c r="F26" s="4" t="str">
        <f>IF(ISNUMBER(Junio!F32),F4-Junio!F32,"")</f>
        <v/>
      </c>
      <c r="G26" s="4" t="str">
        <f>IF(ISNUMBER(Junio!G32),G4-Junio!G32,"")</f>
        <v/>
      </c>
      <c r="H26" s="4" t="str">
        <f>IF(ISNUMBER(Junio!H32),H4-Junio!H32,"")</f>
        <v/>
      </c>
      <c r="I26" s="4" t="str">
        <f>IF(ISNUMBER(Junio!I32),I4-Junio!I32,"")</f>
        <v/>
      </c>
      <c r="J26" s="4" t="str">
        <f>IF(ISNUMBER(Junio!J32),J4-Junio!J32,"")</f>
        <v/>
      </c>
      <c r="K26" s="4" t="str">
        <f>IF(ISNUMBER(Junio!K32),K4-Junio!K32,"")</f>
        <v/>
      </c>
      <c r="L26" s="4" t="str">
        <f>IF(ISNUMBER(Junio!L32),L4-Junio!L32,"")</f>
        <v/>
      </c>
      <c r="M26" s="4" t="str">
        <f>IF(ISNUMBER(Junio!M32),M4-Junio!M32,"")</f>
        <v/>
      </c>
      <c r="N26" s="4" t="str">
        <f>IF(ISNUMBER(Junio!N32),N4-Junio!N32,"")</f>
        <v/>
      </c>
      <c r="O26" s="4" t="str">
        <f>IF(ISNUMBER(Junio!O32),O4-Junio!O32,"")</f>
        <v/>
      </c>
      <c r="P26" s="4" t="str">
        <f>IF(ISNUMBER(Junio!P32),P4-Junio!P32,"")</f>
        <v/>
      </c>
      <c r="Q26" s="4" t="str">
        <f>IF(ISNUMBER(Junio!Q32),Q4-Junio!Q32,"")</f>
        <v/>
      </c>
      <c r="R26" s="4" t="str">
        <f>IF(ISNUMBER(Junio!R32),R4-Junio!R32,"")</f>
        <v/>
      </c>
      <c r="S26" s="4" t="str">
        <f>IF(ISNUMBER(Junio!S32),S4-Junio!S32,"")</f>
        <v/>
      </c>
      <c r="T26" s="4" t="str">
        <f>IF(ISNUMBER(Junio!T32),T4-Junio!T32,"")</f>
        <v/>
      </c>
      <c r="U26" s="4" t="str">
        <f>IF(ISNUMBER(Junio!U32),U4-Junio!U32,"")</f>
        <v/>
      </c>
      <c r="V26" s="4" t="str">
        <f>IF(ISNUMBER(Junio!V32),V4-Junio!V32,"")</f>
        <v/>
      </c>
      <c r="W26" s="4" t="str">
        <f>IF(ISNUMBER(Junio!W32),W4-Junio!W32,"")</f>
        <v/>
      </c>
      <c r="X26" s="4" t="str">
        <f>IF(ISNUMBER(Junio!X32),X4-Junio!X32,"")</f>
        <v/>
      </c>
      <c r="Y26" s="4" t="str">
        <f>IF(ISNUMBER(Junio!Y32),Y4-Junio!Y32,"")</f>
        <v/>
      </c>
      <c r="Z26" s="4" t="str">
        <f>IF(ISNUMBER(Junio!Z32),Z4-Junio!Z32,"")</f>
        <v/>
      </c>
      <c r="AA26" s="13">
        <f t="shared" si="6"/>
        <v>0</v>
      </c>
    </row>
    <row r="27" spans="1:27" ht="15" customHeight="1" x14ac:dyDescent="0.25">
      <c r="A27" s="4" t="s">
        <v>36</v>
      </c>
      <c r="B27" s="4" t="str">
        <f>IF(ISNUMBER(Julio!B33),B5-Julio!B33,"")</f>
        <v/>
      </c>
      <c r="C27" s="4" t="str">
        <f>IF(ISNUMBER(Julio!C33),C5-Julio!C33,"")</f>
        <v/>
      </c>
      <c r="D27" s="4" t="str">
        <f>IF(ISNUMBER(Julio!D33),D5-Julio!D33,"")</f>
        <v/>
      </c>
      <c r="E27" s="4" t="str">
        <f>IF(ISNUMBER(Julio!E33),E5-Julio!E33,"")</f>
        <v/>
      </c>
      <c r="F27" s="4" t="str">
        <f>IF(ISNUMBER(Julio!F33),F5-Julio!F33,"")</f>
        <v/>
      </c>
      <c r="G27" s="4" t="str">
        <f>IF(ISNUMBER(Julio!G33),G5-Julio!G33,"")</f>
        <v/>
      </c>
      <c r="H27" s="4" t="str">
        <f>IF(ISNUMBER(Julio!H33),H5-Julio!H33,"")</f>
        <v/>
      </c>
      <c r="I27" s="4" t="str">
        <f>IF(ISNUMBER(Julio!I33),I5-Julio!I33,"")</f>
        <v/>
      </c>
      <c r="J27" s="4" t="str">
        <f>IF(ISNUMBER(Julio!J33),J5-Julio!J33,"")</f>
        <v/>
      </c>
      <c r="K27" s="4" t="str">
        <f>IF(ISNUMBER(Julio!K33),K5-Julio!K33,"")</f>
        <v/>
      </c>
      <c r="L27" s="4" t="str">
        <f>IF(ISNUMBER(Julio!L33),L5-Julio!L33,"")</f>
        <v/>
      </c>
      <c r="M27" s="4" t="str">
        <f>IF(ISNUMBER(Julio!M33),M5-Julio!M33,"")</f>
        <v/>
      </c>
      <c r="N27" s="4" t="str">
        <f>IF(ISNUMBER(Julio!N33),N5-Julio!N33,"")</f>
        <v/>
      </c>
      <c r="O27" s="4" t="str">
        <f>IF(ISNUMBER(Julio!O33),O5-Julio!O33,"")</f>
        <v/>
      </c>
      <c r="P27" s="4" t="str">
        <f>IF(ISNUMBER(Julio!P33),P5-Julio!P33,"")</f>
        <v/>
      </c>
      <c r="Q27" s="4" t="str">
        <f>IF(ISNUMBER(Julio!Q33),Q5-Julio!Q33,"")</f>
        <v/>
      </c>
      <c r="R27" s="4" t="str">
        <f>IF(ISNUMBER(Julio!R33),R5-Julio!R33,"")</f>
        <v/>
      </c>
      <c r="S27" s="4" t="str">
        <f>IF(ISNUMBER(Julio!S33),S5-Julio!S33,"")</f>
        <v/>
      </c>
      <c r="T27" s="4" t="str">
        <f>IF(ISNUMBER(Julio!T33),T5-Julio!T33,"")</f>
        <v/>
      </c>
      <c r="U27" s="4" t="str">
        <f>IF(ISNUMBER(Julio!U33),U5-Julio!U33,"")</f>
        <v/>
      </c>
      <c r="V27" s="4" t="str">
        <f>IF(ISNUMBER(Julio!V33),V5-Julio!V33,"")</f>
        <v/>
      </c>
      <c r="W27" s="4" t="str">
        <f>IF(ISNUMBER(Julio!W33),W5-Julio!W33,"")</f>
        <v/>
      </c>
      <c r="X27" s="4" t="str">
        <f>IF(ISNUMBER(Julio!X33),X5-Julio!X33,"")</f>
        <v/>
      </c>
      <c r="Y27" s="4" t="str">
        <f>IF(ISNUMBER(Julio!Y33),Y5-Julio!Y33,"")</f>
        <v/>
      </c>
      <c r="Z27" s="4" t="str">
        <f>IF(ISNUMBER(Julio!Z33),Z5-Julio!Z33,"")</f>
        <v/>
      </c>
      <c r="AA27" s="13">
        <f t="shared" si="6"/>
        <v>0</v>
      </c>
    </row>
    <row r="28" spans="1:27" ht="15" customHeight="1" x14ac:dyDescent="0.25">
      <c r="A28" s="4" t="s">
        <v>37</v>
      </c>
      <c r="B28" s="4" t="str">
        <f>IF(ISNUMBER(Agosto!B33),B6-Agosto!B33,"")</f>
        <v/>
      </c>
      <c r="C28" s="4" t="str">
        <f>IF(ISNUMBER(Agosto!C33),C6-Agosto!C33,"")</f>
        <v/>
      </c>
      <c r="D28" s="4" t="str">
        <f>IF(ISNUMBER(Agosto!D33),D6-Agosto!D33,"")</f>
        <v/>
      </c>
      <c r="E28" s="4" t="str">
        <f>IF(ISNUMBER(Agosto!E33),E6-Agosto!E33,"")</f>
        <v/>
      </c>
      <c r="F28" s="4" t="str">
        <f>IF(ISNUMBER(Agosto!F33),F6-Agosto!F33,"")</f>
        <v/>
      </c>
      <c r="G28" s="4" t="str">
        <f>IF(ISNUMBER(Agosto!G33),G6-Agosto!G33,"")</f>
        <v/>
      </c>
      <c r="H28" s="4" t="str">
        <f>IF(ISNUMBER(Agosto!H33),H6-Agosto!H33,"")</f>
        <v/>
      </c>
      <c r="I28" s="4" t="str">
        <f>IF(ISNUMBER(Agosto!I33),I6-Agosto!I33,"")</f>
        <v/>
      </c>
      <c r="J28" s="4" t="str">
        <f>IF(ISNUMBER(Agosto!J33),J6-Agosto!J33,"")</f>
        <v/>
      </c>
      <c r="K28" s="4" t="str">
        <f>IF(ISNUMBER(Agosto!K33),K6-Agosto!K33,"")</f>
        <v/>
      </c>
      <c r="L28" s="4" t="str">
        <f>IF(ISNUMBER(Agosto!L33),L6-Agosto!L33,"")</f>
        <v/>
      </c>
      <c r="M28" s="4" t="str">
        <f>IF(ISNUMBER(Agosto!M33),M6-Agosto!M33,"")</f>
        <v/>
      </c>
      <c r="N28" s="4" t="str">
        <f>IF(ISNUMBER(Agosto!N33),N6-Agosto!N33,"")</f>
        <v/>
      </c>
      <c r="O28" s="4" t="str">
        <f>IF(ISNUMBER(Agosto!O33),O6-Agosto!O33,"")</f>
        <v/>
      </c>
      <c r="P28" s="4" t="str">
        <f>IF(ISNUMBER(Agosto!P33),P6-Agosto!P33,"")</f>
        <v/>
      </c>
      <c r="Q28" s="4" t="str">
        <f>IF(ISNUMBER(Agosto!Q33),Q6-Agosto!Q33,"")</f>
        <v/>
      </c>
      <c r="R28" s="4" t="str">
        <f>IF(ISNUMBER(Agosto!R33),R6-Agosto!R33,"")</f>
        <v/>
      </c>
      <c r="S28" s="4" t="str">
        <f>IF(ISNUMBER(Agosto!S33),S6-Agosto!S33,"")</f>
        <v/>
      </c>
      <c r="T28" s="4" t="str">
        <f>IF(ISNUMBER(Agosto!T33),T6-Agosto!T33,"")</f>
        <v/>
      </c>
      <c r="U28" s="4" t="str">
        <f>IF(ISNUMBER(Agosto!U33),U6-Agosto!U33,"")</f>
        <v/>
      </c>
      <c r="V28" s="4" t="str">
        <f>IF(ISNUMBER(Agosto!V33),V6-Agosto!V33,"")</f>
        <v/>
      </c>
      <c r="W28" s="4" t="str">
        <f>IF(ISNUMBER(Agosto!W33),W6-Agosto!W33,"")</f>
        <v/>
      </c>
      <c r="X28" s="4" t="str">
        <f>IF(ISNUMBER(Agosto!X33),X6-Agosto!X33,"")</f>
        <v/>
      </c>
      <c r="Y28" s="4" t="str">
        <f>IF(ISNUMBER(Agosto!Y33),Y6-Agosto!Y33,"")</f>
        <v/>
      </c>
      <c r="Z28" s="4" t="str">
        <f>IF(ISNUMBER(Agosto!Z33),Z6-Agosto!Z33,"")</f>
        <v/>
      </c>
      <c r="AA28" s="13">
        <f t="shared" si="6"/>
        <v>0</v>
      </c>
    </row>
    <row r="29" spans="1:27" ht="15" customHeight="1" x14ac:dyDescent="0.25">
      <c r="A29" s="4" t="s">
        <v>38</v>
      </c>
      <c r="B29" s="4" t="str">
        <f>IF(ISNUMBER(Setiembre!B32),B7-Setiembre!B32,"")</f>
        <v/>
      </c>
      <c r="C29" s="4" t="str">
        <f>IF(ISNUMBER(Setiembre!C32),C7-Setiembre!C32,"")</f>
        <v/>
      </c>
      <c r="D29" s="4" t="str">
        <f>IF(ISNUMBER(Setiembre!D32),D7-Setiembre!D32,"")</f>
        <v/>
      </c>
      <c r="E29" s="4" t="str">
        <f>IF(ISNUMBER(Setiembre!E32),E7-Setiembre!E32,"")</f>
        <v/>
      </c>
      <c r="F29" s="4" t="str">
        <f>IF(ISNUMBER(Setiembre!F32),F7-Setiembre!F32,"")</f>
        <v/>
      </c>
      <c r="G29" s="4" t="str">
        <f>IF(ISNUMBER(Setiembre!G32),G7-Setiembre!G32,"")</f>
        <v/>
      </c>
      <c r="H29" s="4" t="str">
        <f>IF(ISNUMBER(Setiembre!H32),H7-Setiembre!H32,"")</f>
        <v/>
      </c>
      <c r="I29" s="4" t="str">
        <f>IF(ISNUMBER(Setiembre!I32),I7-Setiembre!I32,"")</f>
        <v/>
      </c>
      <c r="J29" s="4" t="str">
        <f>IF(ISNUMBER(Setiembre!J32),J7-Setiembre!J32,"")</f>
        <v/>
      </c>
      <c r="K29" s="4" t="str">
        <f>IF(ISNUMBER(Setiembre!K32),K7-Setiembre!K32,"")</f>
        <v/>
      </c>
      <c r="L29" s="4" t="str">
        <f>IF(ISNUMBER(Setiembre!L32),L7-Setiembre!L32,"")</f>
        <v/>
      </c>
      <c r="M29" s="4" t="str">
        <f>IF(ISNUMBER(Setiembre!M32),M7-Setiembre!M32,"")</f>
        <v/>
      </c>
      <c r="N29" s="4" t="str">
        <f>IF(ISNUMBER(Setiembre!N32),N7-Setiembre!N32,"")</f>
        <v/>
      </c>
      <c r="O29" s="4" t="str">
        <f>IF(ISNUMBER(Setiembre!O32),O7-Setiembre!O32,"")</f>
        <v/>
      </c>
      <c r="P29" s="4" t="str">
        <f>IF(ISNUMBER(Setiembre!P32),P7-Setiembre!P32,"")</f>
        <v/>
      </c>
      <c r="Q29" s="4" t="str">
        <f>IF(ISNUMBER(Setiembre!Q32),Q7-Setiembre!Q32,"")</f>
        <v/>
      </c>
      <c r="R29" s="4" t="str">
        <f>IF(ISNUMBER(Setiembre!R32),R7-Setiembre!R32,"")</f>
        <v/>
      </c>
      <c r="S29" s="4" t="str">
        <f>IF(ISNUMBER(Setiembre!S32),S7-Setiembre!S32,"")</f>
        <v/>
      </c>
      <c r="T29" s="4" t="str">
        <f>IF(ISNUMBER(Setiembre!T32),T7-Setiembre!T32,"")</f>
        <v/>
      </c>
      <c r="U29" s="4" t="str">
        <f>IF(ISNUMBER(Setiembre!U32),U7-Setiembre!U32,"")</f>
        <v/>
      </c>
      <c r="V29" s="4" t="str">
        <f>IF(ISNUMBER(Setiembre!V32),V7-Setiembre!V32,"")</f>
        <v/>
      </c>
      <c r="W29" s="4" t="str">
        <f>IF(ISNUMBER(Setiembre!W32),W7-Setiembre!W32,"")</f>
        <v/>
      </c>
      <c r="X29" s="4" t="str">
        <f>IF(ISNUMBER(Setiembre!X32),X7-Setiembre!X32,"")</f>
        <v/>
      </c>
      <c r="Y29" s="4" t="str">
        <f>IF(ISNUMBER(Setiembre!Y32),Y7-Setiembre!Y32,"")</f>
        <v/>
      </c>
      <c r="Z29" s="4" t="str">
        <f>IF(ISNUMBER(Setiembre!Z32),Z7-Setiembre!Z32,"")</f>
        <v/>
      </c>
      <c r="AA29" s="13">
        <f t="shared" si="6"/>
        <v>0</v>
      </c>
    </row>
    <row r="30" spans="1:27" ht="15" customHeight="1" x14ac:dyDescent="0.25">
      <c r="A30" s="4" t="s">
        <v>39</v>
      </c>
      <c r="B30" s="4" t="str">
        <f>IF(ISNUMBER(Octubre!B33),B8-Octubre!B33,"")</f>
        <v/>
      </c>
      <c r="C30" s="4" t="str">
        <f>IF(ISNUMBER(Octubre!C33),C8-Octubre!C33,"")</f>
        <v/>
      </c>
      <c r="D30" s="4" t="str">
        <f>IF(ISNUMBER(Octubre!D33),D8-Octubre!D33,"")</f>
        <v/>
      </c>
      <c r="E30" s="4" t="str">
        <f>IF(ISNUMBER(Octubre!E33),E8-Octubre!E33,"")</f>
        <v/>
      </c>
      <c r="F30" s="4" t="str">
        <f>IF(ISNUMBER(Octubre!F33),F8-Octubre!F33,"")</f>
        <v/>
      </c>
      <c r="G30" s="4" t="str">
        <f>IF(ISNUMBER(Octubre!G33),G8-Octubre!G33,"")</f>
        <v/>
      </c>
      <c r="H30" s="4" t="str">
        <f>IF(ISNUMBER(Octubre!H33),H8-Octubre!H33,"")</f>
        <v/>
      </c>
      <c r="I30" s="4" t="str">
        <f>IF(ISNUMBER(Octubre!I33),I8-Octubre!I33,"")</f>
        <v/>
      </c>
      <c r="J30" s="4" t="str">
        <f>IF(ISNUMBER(Octubre!J33),J8-Octubre!J33,"")</f>
        <v/>
      </c>
      <c r="K30" s="4" t="str">
        <f>IF(ISNUMBER(Octubre!K33),K8-Octubre!K33,"")</f>
        <v/>
      </c>
      <c r="L30" s="4" t="str">
        <f>IF(ISNUMBER(Octubre!L33),L8-Octubre!L33,"")</f>
        <v/>
      </c>
      <c r="M30" s="4" t="str">
        <f>IF(ISNUMBER(Octubre!M33),M8-Octubre!M33,"")</f>
        <v/>
      </c>
      <c r="N30" s="4" t="str">
        <f>IF(ISNUMBER(Octubre!N33),N8-Octubre!N33,"")</f>
        <v/>
      </c>
      <c r="O30" s="4" t="str">
        <f>IF(ISNUMBER(Octubre!O33),O8-Octubre!O33,"")</f>
        <v/>
      </c>
      <c r="P30" s="4" t="str">
        <f>IF(ISNUMBER(Octubre!P33),P8-Octubre!P33,"")</f>
        <v/>
      </c>
      <c r="Q30" s="4" t="str">
        <f>IF(ISNUMBER(Octubre!Q33),Q8-Octubre!Q33,"")</f>
        <v/>
      </c>
      <c r="R30" s="4" t="str">
        <f>IF(ISNUMBER(Octubre!R33),R8-Octubre!R33,"")</f>
        <v/>
      </c>
      <c r="S30" s="4" t="str">
        <f>IF(ISNUMBER(Octubre!S33),S8-Octubre!S33,"")</f>
        <v/>
      </c>
      <c r="T30" s="4" t="str">
        <f>IF(ISNUMBER(Octubre!T33),T8-Octubre!T33,"")</f>
        <v/>
      </c>
      <c r="U30" s="4" t="str">
        <f>IF(ISNUMBER(Octubre!U33),U8-Octubre!U33,"")</f>
        <v/>
      </c>
      <c r="V30" s="4" t="str">
        <f>IF(ISNUMBER(Octubre!V33),V8-Octubre!V33,"")</f>
        <v/>
      </c>
      <c r="W30" s="4" t="str">
        <f>IF(ISNUMBER(Octubre!W33),W8-Octubre!W33,"")</f>
        <v/>
      </c>
      <c r="X30" s="4" t="str">
        <f>IF(ISNUMBER(Octubre!X33),X8-Octubre!X33,"")</f>
        <v/>
      </c>
      <c r="Y30" s="4" t="str">
        <f>IF(ISNUMBER(Octubre!Y33),Y8-Octubre!Y33,"")</f>
        <v/>
      </c>
      <c r="Z30" s="4" t="str">
        <f>IF(ISNUMBER(Octubre!Z33),Z8-Octubre!Z33,"")</f>
        <v/>
      </c>
      <c r="AA30" s="13">
        <f t="shared" si="6"/>
        <v>0</v>
      </c>
    </row>
    <row r="31" spans="1:27" ht="15" customHeight="1" x14ac:dyDescent="0.25">
      <c r="A31" s="4" t="s">
        <v>40</v>
      </c>
      <c r="B31" s="4" t="str">
        <f>IF(ISNUMBER(Noviembre!B32),B9-Noviembre!B32,"")</f>
        <v/>
      </c>
      <c r="C31" s="4" t="str">
        <f>IF(ISNUMBER(Noviembre!C32),C9-Noviembre!C32,"")</f>
        <v/>
      </c>
      <c r="D31" s="4" t="str">
        <f>IF(ISNUMBER(Noviembre!D32),D9-Noviembre!D32,"")</f>
        <v/>
      </c>
      <c r="E31" s="4" t="str">
        <f>IF(ISNUMBER(Noviembre!E32),E9-Noviembre!E32,"")</f>
        <v/>
      </c>
      <c r="F31" s="4" t="str">
        <f>IF(ISNUMBER(Noviembre!F32),F9-Noviembre!F32,"")</f>
        <v/>
      </c>
      <c r="G31" s="4" t="str">
        <f>IF(ISNUMBER(Noviembre!G32),G9-Noviembre!G32,"")</f>
        <v/>
      </c>
      <c r="H31" s="4" t="str">
        <f>IF(ISNUMBER(Noviembre!H32),H9-Noviembre!H32,"")</f>
        <v/>
      </c>
      <c r="I31" s="4" t="str">
        <f>IF(ISNUMBER(Noviembre!I32),I9-Noviembre!I32,"")</f>
        <v/>
      </c>
      <c r="J31" s="4" t="str">
        <f>IF(ISNUMBER(Noviembre!J32),J9-Noviembre!J32,"")</f>
        <v/>
      </c>
      <c r="K31" s="4" t="str">
        <f>IF(ISNUMBER(Noviembre!K32),K9-Noviembre!K32,"")</f>
        <v/>
      </c>
      <c r="L31" s="4" t="str">
        <f>IF(ISNUMBER(Noviembre!L32),L9-Noviembre!L32,"")</f>
        <v/>
      </c>
      <c r="M31" s="4" t="str">
        <f>IF(ISNUMBER(Noviembre!M32),M9-Noviembre!M32,"")</f>
        <v/>
      </c>
      <c r="N31" s="4" t="str">
        <f>IF(ISNUMBER(Noviembre!N32),N9-Noviembre!N32,"")</f>
        <v/>
      </c>
      <c r="O31" s="4" t="str">
        <f>IF(ISNUMBER(Noviembre!O32),O9-Noviembre!O32,"")</f>
        <v/>
      </c>
      <c r="P31" s="4" t="str">
        <f>IF(ISNUMBER(Noviembre!P32),P9-Noviembre!P32,"")</f>
        <v/>
      </c>
      <c r="Q31" s="4" t="str">
        <f>IF(ISNUMBER(Noviembre!Q32),Q9-Noviembre!Q32,"")</f>
        <v/>
      </c>
      <c r="R31" s="4" t="str">
        <f>IF(ISNUMBER(Noviembre!R32),R9-Noviembre!R32,"")</f>
        <v/>
      </c>
      <c r="S31" s="4" t="str">
        <f>IF(ISNUMBER(Noviembre!S32),S9-Noviembre!S32,"")</f>
        <v/>
      </c>
      <c r="T31" s="4" t="str">
        <f>IF(ISNUMBER(Noviembre!T32),T9-Noviembre!T32,"")</f>
        <v/>
      </c>
      <c r="U31" s="4" t="str">
        <f>IF(ISNUMBER(Noviembre!U32),U9-Noviembre!U32,"")</f>
        <v/>
      </c>
      <c r="V31" s="4" t="str">
        <f>IF(ISNUMBER(Noviembre!V32),V9-Noviembre!V32,"")</f>
        <v/>
      </c>
      <c r="W31" s="4" t="str">
        <f>IF(ISNUMBER(Noviembre!W32),W9-Noviembre!W32,"")</f>
        <v/>
      </c>
      <c r="X31" s="4" t="str">
        <f>IF(ISNUMBER(Noviembre!X32),X9-Noviembre!X32,"")</f>
        <v/>
      </c>
      <c r="Y31" s="4" t="str">
        <f>IF(ISNUMBER(Noviembre!Y32),Y9-Noviembre!Y32,"")</f>
        <v/>
      </c>
      <c r="Z31" s="4" t="str">
        <f>IF(ISNUMBER(Noviembre!Z32),Z9-Noviembre!Z32,"")</f>
        <v/>
      </c>
      <c r="AA31" s="13">
        <f t="shared" si="6"/>
        <v>0</v>
      </c>
    </row>
    <row r="32" spans="1:27" ht="15" customHeight="1" x14ac:dyDescent="0.25">
      <c r="A32" s="4" t="s">
        <v>41</v>
      </c>
      <c r="B32" s="4" t="str">
        <f>IF(ISNUMBER(Diciembre!B33),B10-Diciembre!B33,"")</f>
        <v/>
      </c>
      <c r="C32" s="4" t="str">
        <f>IF(ISNUMBER(Diciembre!C33),C10-Diciembre!C33,"")</f>
        <v/>
      </c>
      <c r="D32" s="4" t="str">
        <f>IF(ISNUMBER(Diciembre!D33),D10-Diciembre!D33,"")</f>
        <v/>
      </c>
      <c r="E32" s="4" t="str">
        <f>IF(ISNUMBER(Diciembre!E33),E10-Diciembre!E33,"")</f>
        <v/>
      </c>
      <c r="F32" s="4" t="str">
        <f>IF(ISNUMBER(Diciembre!F33),F10-Diciembre!F33,"")</f>
        <v/>
      </c>
      <c r="G32" s="4" t="str">
        <f>IF(ISNUMBER(Diciembre!G33),G10-Diciembre!G33,"")</f>
        <v/>
      </c>
      <c r="H32" s="4" t="str">
        <f>IF(ISNUMBER(Diciembre!H33),H10-Diciembre!H33,"")</f>
        <v/>
      </c>
      <c r="I32" s="4" t="str">
        <f>IF(ISNUMBER(Diciembre!I33),I10-Diciembre!I33,"")</f>
        <v/>
      </c>
      <c r="J32" s="4" t="str">
        <f>IF(ISNUMBER(Diciembre!J33),J10-Diciembre!J33,"")</f>
        <v/>
      </c>
      <c r="K32" s="4" t="str">
        <f>IF(ISNUMBER(Diciembre!K33),K10-Diciembre!K33,"")</f>
        <v/>
      </c>
      <c r="L32" s="4" t="str">
        <f>IF(ISNUMBER(Diciembre!L33),L10-Diciembre!L33,"")</f>
        <v/>
      </c>
      <c r="M32" s="4" t="str">
        <f>IF(ISNUMBER(Diciembre!M33),M10-Diciembre!M33,"")</f>
        <v/>
      </c>
      <c r="N32" s="4" t="str">
        <f>IF(ISNUMBER(Diciembre!N33),N10-Diciembre!N33,"")</f>
        <v/>
      </c>
      <c r="O32" s="4" t="str">
        <f>IF(ISNUMBER(Diciembre!O33),O10-Diciembre!O33,"")</f>
        <v/>
      </c>
      <c r="P32" s="4" t="str">
        <f>IF(ISNUMBER(Diciembre!P33),P10-Diciembre!P33,"")</f>
        <v/>
      </c>
      <c r="Q32" s="4" t="str">
        <f>IF(ISNUMBER(Diciembre!Q33),Q10-Diciembre!Q33,"")</f>
        <v/>
      </c>
      <c r="R32" s="4" t="str">
        <f>IF(ISNUMBER(Diciembre!R33),R10-Diciembre!R33,"")</f>
        <v/>
      </c>
      <c r="S32" s="4" t="str">
        <f>IF(ISNUMBER(Diciembre!S33),S10-Diciembre!S33,"")</f>
        <v/>
      </c>
      <c r="T32" s="4" t="str">
        <f>IF(ISNUMBER(Diciembre!T33),T10-Diciembre!T33,"")</f>
        <v/>
      </c>
      <c r="U32" s="4" t="str">
        <f>IF(ISNUMBER(Diciembre!U33),U10-Diciembre!U33,"")</f>
        <v/>
      </c>
      <c r="V32" s="4" t="str">
        <f>IF(ISNUMBER(Diciembre!V33),V10-Diciembre!V33,"")</f>
        <v/>
      </c>
      <c r="W32" s="4" t="str">
        <f>IF(ISNUMBER(Diciembre!W33),W10-Diciembre!W33,"")</f>
        <v/>
      </c>
      <c r="X32" s="4" t="str">
        <f>IF(ISNUMBER(Diciembre!X33),X10-Diciembre!X33,"")</f>
        <v/>
      </c>
      <c r="Y32" s="4" t="str">
        <f>IF(ISNUMBER(Diciembre!Y33),Y10-Diciembre!Y33,"")</f>
        <v/>
      </c>
      <c r="Z32" s="4" t="str">
        <f>IF(ISNUMBER(Diciembre!Z33),Z10-Diciembre!Z33,"")</f>
        <v/>
      </c>
      <c r="AA32" s="13">
        <f t="shared" si="6"/>
        <v>0</v>
      </c>
    </row>
    <row r="33" spans="1:27" ht="15" customHeight="1" x14ac:dyDescent="0.25">
      <c r="A33" s="14" t="s">
        <v>47</v>
      </c>
      <c r="B33" s="13">
        <f t="shared" ref="B33:Z33" si="7">SUMIF(B25:B32,"&lt;&gt;"&amp;"")</f>
        <v>0</v>
      </c>
      <c r="C33" s="13">
        <f t="shared" si="7"/>
        <v>0</v>
      </c>
      <c r="D33" s="13">
        <f t="shared" si="7"/>
        <v>0</v>
      </c>
      <c r="E33" s="13">
        <f t="shared" si="7"/>
        <v>0</v>
      </c>
      <c r="F33" s="13">
        <f t="shared" si="7"/>
        <v>8056</v>
      </c>
      <c r="G33" s="13">
        <f t="shared" si="7"/>
        <v>20</v>
      </c>
      <c r="H33" s="13">
        <f t="shared" si="7"/>
        <v>0</v>
      </c>
      <c r="I33" s="13">
        <f t="shared" si="7"/>
        <v>0</v>
      </c>
      <c r="J33" s="13">
        <f t="shared" si="7"/>
        <v>0</v>
      </c>
      <c r="K33" s="13">
        <f t="shared" si="7"/>
        <v>0</v>
      </c>
      <c r="L33" s="13">
        <f t="shared" si="7"/>
        <v>0</v>
      </c>
      <c r="M33" s="13">
        <f t="shared" si="7"/>
        <v>0</v>
      </c>
      <c r="N33" s="13">
        <f t="shared" si="7"/>
        <v>0</v>
      </c>
      <c r="O33" s="13">
        <f t="shared" si="7"/>
        <v>0</v>
      </c>
      <c r="P33" s="13">
        <f t="shared" si="7"/>
        <v>0</v>
      </c>
      <c r="Q33" s="13">
        <f t="shared" si="7"/>
        <v>16822.23</v>
      </c>
      <c r="R33" s="13">
        <f t="shared" si="7"/>
        <v>0</v>
      </c>
      <c r="S33" s="13">
        <f t="shared" si="7"/>
        <v>0</v>
      </c>
      <c r="T33" s="13">
        <f t="shared" si="7"/>
        <v>0</v>
      </c>
      <c r="U33" s="13">
        <f t="shared" si="7"/>
        <v>0</v>
      </c>
      <c r="V33" s="13">
        <f t="shared" si="7"/>
        <v>0</v>
      </c>
      <c r="W33" s="13">
        <f t="shared" si="7"/>
        <v>1431.36</v>
      </c>
      <c r="X33" s="13">
        <f t="shared" si="7"/>
        <v>0</v>
      </c>
      <c r="Y33" s="13">
        <f t="shared" si="7"/>
        <v>0</v>
      </c>
      <c r="Z33" s="13">
        <f t="shared" si="7"/>
        <v>0</v>
      </c>
      <c r="AA33" s="13">
        <f t="shared" si="6"/>
        <v>26329.59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zoomScaleNormal="100" workbookViewId="0">
      <selection activeCell="J14" sqref="J14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>
        <v>2754.82</v>
      </c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2754.82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>
        <v>422.95</v>
      </c>
      <c r="R5" s="17"/>
      <c r="S5" s="17"/>
      <c r="T5" s="17"/>
      <c r="U5" s="17"/>
      <c r="V5" s="17"/>
      <c r="W5" s="17">
        <v>68.64</v>
      </c>
      <c r="X5" s="17"/>
      <c r="Y5" s="17"/>
      <c r="Z5" s="17"/>
      <c r="AA5" s="17">
        <f t="shared" si="0"/>
        <v>491.59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>
        <v>17944</v>
      </c>
      <c r="G6" s="17">
        <v>980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18924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49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>
        <f t="shared" si="1"/>
        <v>17944</v>
      </c>
      <c r="G33" s="13">
        <f t="shared" si="1"/>
        <v>980</v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>
        <f t="shared" si="1"/>
        <v>3177.77</v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>
        <f t="shared" si="1"/>
        <v>68.64</v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22170.41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49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49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49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49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49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1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3" t="s">
        <v>49</v>
      </c>
      <c r="B32" s="13" t="str">
        <f t="shared" ref="B32:AA32" si="1">IF(COUNTA(B2:B31)&gt;0,SUM(B2:B31),"")</f>
        <v/>
      </c>
      <c r="C32" s="13" t="str">
        <f t="shared" si="1"/>
        <v/>
      </c>
      <c r="D32" s="13" t="str">
        <f t="shared" si="1"/>
        <v/>
      </c>
      <c r="E32" s="13" t="str">
        <f t="shared" si="1"/>
        <v/>
      </c>
      <c r="F32" s="13" t="str">
        <f t="shared" si="1"/>
        <v/>
      </c>
      <c r="G32" s="13" t="str">
        <f t="shared" si="1"/>
        <v/>
      </c>
      <c r="H32" s="13" t="str">
        <f t="shared" si="1"/>
        <v/>
      </c>
      <c r="I32" s="13" t="str">
        <f t="shared" si="1"/>
        <v/>
      </c>
      <c r="J32" s="13" t="str">
        <f t="shared" si="1"/>
        <v/>
      </c>
      <c r="K32" s="13" t="str">
        <f t="shared" si="1"/>
        <v/>
      </c>
      <c r="L32" s="13" t="str">
        <f t="shared" si="1"/>
        <v/>
      </c>
      <c r="M32" s="13" t="str">
        <f t="shared" si="1"/>
        <v/>
      </c>
      <c r="N32" s="13" t="str">
        <f t="shared" si="1"/>
        <v/>
      </c>
      <c r="O32" s="13" t="str">
        <f t="shared" si="1"/>
        <v/>
      </c>
      <c r="P32" s="13" t="str">
        <f t="shared" si="1"/>
        <v/>
      </c>
      <c r="Q32" s="13" t="str">
        <f t="shared" si="1"/>
        <v/>
      </c>
      <c r="R32" s="13" t="str">
        <f t="shared" si="1"/>
        <v/>
      </c>
      <c r="S32" s="13" t="str">
        <f t="shared" si="1"/>
        <v/>
      </c>
      <c r="T32" s="13" t="str">
        <f t="shared" si="1"/>
        <v/>
      </c>
      <c r="U32" s="13" t="str">
        <f t="shared" si="1"/>
        <v/>
      </c>
      <c r="V32" s="13" t="str">
        <f t="shared" si="1"/>
        <v/>
      </c>
      <c r="W32" s="13" t="str">
        <f t="shared" si="1"/>
        <v/>
      </c>
      <c r="X32" s="13" t="str">
        <f t="shared" si="1"/>
        <v/>
      </c>
      <c r="Y32" s="13" t="str">
        <f t="shared" si="1"/>
        <v/>
      </c>
      <c r="Z32" s="13" t="str">
        <f t="shared" si="1"/>
        <v/>
      </c>
      <c r="AA32" s="13">
        <f t="shared" si="1"/>
        <v>0</v>
      </c>
      <c r="AB32" s="1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15" t="s">
        <v>13</v>
      </c>
      <c r="N1" s="15" t="s">
        <v>14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48</v>
      </c>
    </row>
    <row r="2" spans="1:28" ht="15" customHeight="1" x14ac:dyDescent="0.25">
      <c r="A2" s="16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>
        <f t="shared" ref="AA2:AA32" si="0">SUM(B2:Z2)</f>
        <v>0</v>
      </c>
      <c r="AB2" s="17"/>
    </row>
    <row r="3" spans="1:28" ht="15" customHeight="1" x14ac:dyDescent="0.25">
      <c r="A3" s="16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>
        <f t="shared" si="0"/>
        <v>0</v>
      </c>
      <c r="AB3" s="17"/>
    </row>
    <row r="4" spans="1:28" ht="15" customHeight="1" x14ac:dyDescent="0.25">
      <c r="A4" s="16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>
        <f t="shared" si="0"/>
        <v>0</v>
      </c>
      <c r="AB4" s="17"/>
    </row>
    <row r="5" spans="1:28" ht="15" customHeight="1" x14ac:dyDescent="0.25">
      <c r="A5" s="16">
        <v>4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>
        <f t="shared" si="0"/>
        <v>0</v>
      </c>
      <c r="AB5" s="17"/>
    </row>
    <row r="6" spans="1:28" ht="15" customHeight="1" x14ac:dyDescent="0.25">
      <c r="A6" s="16">
        <v>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f t="shared" si="0"/>
        <v>0</v>
      </c>
      <c r="AB6" s="17"/>
    </row>
    <row r="7" spans="1:28" ht="15" customHeight="1" x14ac:dyDescent="0.25">
      <c r="A7" s="16">
        <v>6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>
        <f t="shared" si="0"/>
        <v>0</v>
      </c>
      <c r="AB7" s="17"/>
    </row>
    <row r="8" spans="1:28" ht="15" customHeight="1" x14ac:dyDescent="0.25">
      <c r="A8" s="16">
        <v>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>
        <f t="shared" si="0"/>
        <v>0</v>
      </c>
      <c r="AB8" s="17"/>
    </row>
    <row r="9" spans="1:28" ht="15" customHeight="1" x14ac:dyDescent="0.25">
      <c r="A9" s="16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>
        <f t="shared" si="0"/>
        <v>0</v>
      </c>
      <c r="AB9" s="17"/>
    </row>
    <row r="10" spans="1:28" ht="15" customHeight="1" x14ac:dyDescent="0.25">
      <c r="A10" s="16">
        <v>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>
        <f t="shared" si="0"/>
        <v>0</v>
      </c>
      <c r="AB10" s="17"/>
    </row>
    <row r="11" spans="1:28" ht="15" customHeight="1" x14ac:dyDescent="0.25">
      <c r="A11" s="16">
        <v>10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>
        <f t="shared" si="0"/>
        <v>0</v>
      </c>
      <c r="AB11" s="17"/>
    </row>
    <row r="12" spans="1:28" ht="15" customHeight="1" x14ac:dyDescent="0.25">
      <c r="A12" s="16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>
        <f t="shared" si="0"/>
        <v>0</v>
      </c>
      <c r="AB12" s="17"/>
    </row>
    <row r="13" spans="1:28" ht="15" customHeight="1" x14ac:dyDescent="0.25">
      <c r="A13" s="16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>
        <f t="shared" si="0"/>
        <v>0</v>
      </c>
      <c r="AB13" s="17"/>
    </row>
    <row r="14" spans="1:28" ht="15" customHeight="1" x14ac:dyDescent="0.25">
      <c r="A14" s="16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>
        <f t="shared" si="0"/>
        <v>0</v>
      </c>
      <c r="AB14" s="17"/>
    </row>
    <row r="15" spans="1:28" ht="15" customHeight="1" x14ac:dyDescent="0.25">
      <c r="A15" s="16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>
        <f t="shared" si="0"/>
        <v>0</v>
      </c>
      <c r="AB15" s="17"/>
    </row>
    <row r="16" spans="1:28" ht="15" customHeight="1" x14ac:dyDescent="0.25">
      <c r="A16" s="16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>
        <f t="shared" si="0"/>
        <v>0</v>
      </c>
      <c r="AB16" s="17"/>
    </row>
    <row r="17" spans="1:28" ht="15" customHeight="1" x14ac:dyDescent="0.25">
      <c r="A17" s="16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>
        <f t="shared" si="0"/>
        <v>0</v>
      </c>
      <c r="AB17" s="17"/>
    </row>
    <row r="18" spans="1:28" ht="15" customHeight="1" x14ac:dyDescent="0.25">
      <c r="A18" s="16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>
        <f t="shared" si="0"/>
        <v>0</v>
      </c>
      <c r="AB18" s="17"/>
    </row>
    <row r="19" spans="1:28" ht="15" customHeight="1" x14ac:dyDescent="0.25">
      <c r="A19" s="16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>
        <f t="shared" si="0"/>
        <v>0</v>
      </c>
      <c r="AB19" s="17"/>
    </row>
    <row r="20" spans="1:28" ht="15" customHeight="1" x14ac:dyDescent="0.25">
      <c r="A20" s="16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>
        <f t="shared" si="0"/>
        <v>0</v>
      </c>
      <c r="AB20" s="17"/>
    </row>
    <row r="21" spans="1:28" ht="15" customHeight="1" x14ac:dyDescent="0.25">
      <c r="A21" s="16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>
        <f t="shared" si="0"/>
        <v>0</v>
      </c>
      <c r="AB21" s="17"/>
    </row>
    <row r="22" spans="1:28" ht="15" customHeight="1" x14ac:dyDescent="0.25">
      <c r="A22" s="16">
        <v>21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>
        <f t="shared" si="0"/>
        <v>0</v>
      </c>
      <c r="AB22" s="17"/>
    </row>
    <row r="23" spans="1:28" ht="15" customHeight="1" x14ac:dyDescent="0.25">
      <c r="A23" s="16">
        <v>22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>
        <f t="shared" si="0"/>
        <v>0</v>
      </c>
      <c r="AB23" s="17"/>
    </row>
    <row r="24" spans="1:28" ht="15" customHeight="1" x14ac:dyDescent="0.25">
      <c r="A24" s="16">
        <v>23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f t="shared" si="0"/>
        <v>0</v>
      </c>
      <c r="AB24" s="17"/>
    </row>
    <row r="25" spans="1:28" ht="15" customHeight="1" x14ac:dyDescent="0.25">
      <c r="A25" s="16">
        <v>24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>
        <f t="shared" si="0"/>
        <v>0</v>
      </c>
      <c r="AB25" s="17"/>
    </row>
    <row r="26" spans="1:28" ht="15" customHeight="1" x14ac:dyDescent="0.25">
      <c r="A26" s="16">
        <v>25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>
        <f t="shared" si="0"/>
        <v>0</v>
      </c>
      <c r="AB26" s="17"/>
    </row>
    <row r="27" spans="1:28" ht="15" customHeight="1" x14ac:dyDescent="0.25">
      <c r="A27" s="16">
        <v>26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>
        <f t="shared" si="0"/>
        <v>0</v>
      </c>
      <c r="AB27" s="17"/>
    </row>
    <row r="28" spans="1:28" ht="15" customHeight="1" x14ac:dyDescent="0.25">
      <c r="A28" s="16">
        <v>27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>
        <f t="shared" si="0"/>
        <v>0</v>
      </c>
      <c r="AB28" s="17"/>
    </row>
    <row r="29" spans="1:28" ht="15" customHeight="1" x14ac:dyDescent="0.25">
      <c r="A29" s="16">
        <v>28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>
        <f t="shared" si="0"/>
        <v>0</v>
      </c>
      <c r="AB29" s="17"/>
    </row>
    <row r="30" spans="1:28" ht="15" customHeight="1" x14ac:dyDescent="0.25">
      <c r="A30" s="16">
        <v>29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>
        <f t="shared" si="0"/>
        <v>0</v>
      </c>
      <c r="AB30" s="17"/>
    </row>
    <row r="31" spans="1:28" ht="15" customHeight="1" x14ac:dyDescent="0.25">
      <c r="A31" s="16">
        <v>30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>
        <f t="shared" si="0"/>
        <v>0</v>
      </c>
      <c r="AB31" s="17"/>
    </row>
    <row r="32" spans="1:28" ht="15" customHeight="1" x14ac:dyDescent="0.25">
      <c r="A32" s="16">
        <v>31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>
        <f t="shared" si="0"/>
        <v>0</v>
      </c>
      <c r="AB32" s="17"/>
    </row>
    <row r="33" spans="1:28" ht="15" customHeight="1" x14ac:dyDescent="0.25">
      <c r="A33" s="13" t="s">
        <v>49</v>
      </c>
      <c r="B33" s="13" t="str">
        <f t="shared" ref="B33:AA33" si="1">IF(COUNTA(B2:B32)&gt;0,SUM(B2:B32),"")</f>
        <v/>
      </c>
      <c r="C33" s="13" t="str">
        <f t="shared" si="1"/>
        <v/>
      </c>
      <c r="D33" s="13" t="str">
        <f t="shared" si="1"/>
        <v/>
      </c>
      <c r="E33" s="13" t="str">
        <f t="shared" si="1"/>
        <v/>
      </c>
      <c r="F33" s="13" t="str">
        <f t="shared" si="1"/>
        <v/>
      </c>
      <c r="G33" s="13" t="str">
        <f t="shared" si="1"/>
        <v/>
      </c>
      <c r="H33" s="13" t="str">
        <f t="shared" si="1"/>
        <v/>
      </c>
      <c r="I33" s="13" t="str">
        <f t="shared" si="1"/>
        <v/>
      </c>
      <c r="J33" s="13" t="str">
        <f t="shared" si="1"/>
        <v/>
      </c>
      <c r="K33" s="13" t="str">
        <f t="shared" si="1"/>
        <v/>
      </c>
      <c r="L33" s="13" t="str">
        <f t="shared" si="1"/>
        <v/>
      </c>
      <c r="M33" s="13" t="str">
        <f t="shared" si="1"/>
        <v/>
      </c>
      <c r="N33" s="13" t="str">
        <f t="shared" si="1"/>
        <v/>
      </c>
      <c r="O33" s="13" t="str">
        <f t="shared" si="1"/>
        <v/>
      </c>
      <c r="P33" s="13" t="str">
        <f t="shared" si="1"/>
        <v/>
      </c>
      <c r="Q33" s="13" t="str">
        <f t="shared" si="1"/>
        <v/>
      </c>
      <c r="R33" s="13" t="str">
        <f t="shared" si="1"/>
        <v/>
      </c>
      <c r="S33" s="13" t="str">
        <f t="shared" si="1"/>
        <v/>
      </c>
      <c r="T33" s="13" t="str">
        <f t="shared" si="1"/>
        <v/>
      </c>
      <c r="U33" s="13" t="str">
        <f t="shared" si="1"/>
        <v/>
      </c>
      <c r="V33" s="13" t="str">
        <f t="shared" si="1"/>
        <v/>
      </c>
      <c r="W33" s="13" t="str">
        <f t="shared" si="1"/>
        <v/>
      </c>
      <c r="X33" s="13" t="str">
        <f t="shared" si="1"/>
        <v/>
      </c>
      <c r="Y33" s="13" t="str">
        <f t="shared" si="1"/>
        <v/>
      </c>
      <c r="Z33" s="13" t="str">
        <f t="shared" si="1"/>
        <v/>
      </c>
      <c r="AA33" s="13">
        <f t="shared" si="1"/>
        <v>0</v>
      </c>
      <c r="AB33" s="1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2026-05-06T14:48:49Z</dcterms:modified>
  <dc:language>en-US</dc:language>
</cp:coreProperties>
</file>